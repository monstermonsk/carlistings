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a044ae920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acd57ec0ae4440"/>
    <x:sheet xmlns:r="http://schemas.openxmlformats.org/officeDocument/2006/relationships" name="Assumptions" sheetId="2" r:id="R2583c2edd8bb4ac0"/>
    <x:sheet xmlns:r="http://schemas.openxmlformats.org/officeDocument/2006/relationships" name="Forecast" sheetId="3" r:id="R708002ca7ce6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$#,##0"/>
    <x:numFmt numFmtId="202" formatCode="$0.00"/>
    <x:numFmt numFmtId="203" formatCode="$#,##0.00"/>
    <x:numFmt numFmtId="204" formatCode="mmm-yy"/>
    <x:numFmt numFmtId="205" formatCode="#,##0.0"/>
    <x:numFmt numFmtId="206" formatCode="$#,##0;($#,##0);-"/>
    <x:numFmt numFmtId="207" formatCode="0.0%"/>
  </x:numFmts>
  <x:fonts count="6">
    <x:font>
      <x:sz val="11"/>
      <x:name val="Carlito"/>
    </x:font>
    <x:font>
      <x:sz val="10"/>
      <x:color rgb="FF202020"/>
      <x:name val="Arial"/>
    </x:font>
    <x:font>
      <x:b/>
      <x:sz val="15"/>
      <x:color rgb="FF202020"/>
      <x:name val="Arial"/>
    </x:font>
    <x:font>
      <x:b/>
      <x:sz val="10"/>
      <x:color rgb="FFFFFFFF"/>
      <x:name val="Arial"/>
    </x:font>
    <x:font>
      <x:sz val="10"/>
      <x:color rgb="FF1562A3"/>
      <x:name val="Arial"/>
    </x:font>
    <x:font>
      <x:sz val="10"/>
      <x:color rgb="FF59595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63139"/>
      </x:patternFill>
    </x:fill>
    <x:fill>
      <x:patternFill patternType="solid">
        <x:fgColor rgb="FFFFF2CF"/>
      </x:patternFill>
    </x:fill>
    <x:fill>
      <x:patternFill patternType="solid">
        <x:fgColor rgb="FFFFF3D4"/>
      </x:patternFill>
    </x:fill>
    <x:fill>
      <x:patternFill patternType="solid">
        <x:fgColor rgb="FFE9EFEA"/>
      </x:patternFill>
    </x:fill>
    <x:fill>
      <x:patternFill patternType="solid">
        <x:fgColor rgb="FFE5EEF1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2" fontId="4" fillId="3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204" fontId="3" fillId="2" borderId="0" xfId="0" applyNumberFormat="1" applyFont="1" applyFill="1" applyBorder="1"/>
    <x:xf numFmtId="205" fontId="1" fillId="0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6" fontId="1" fillId="0" borderId="0" xfId="0" applyNumberFormat="1" applyFont="1" applyFill="1" applyBorder="1"/>
    <x:xf numFmtId="206" fontId="1" fillId="5" borderId="0" xfId="0" applyNumberFormat="1" applyFont="1" applyFill="1" applyBorder="1"/>
    <x:xf numFmtId="206" fontId="1" fillId="6" borderId="0" xfId="0" applyNumberFormat="1" applyFont="1" applyFill="1" applyBorder="1"/>
    <x:xf numFmtId="206" fontId="1" fillId="4" borderId="0" xfId="0" applyNumberFormat="1" applyFont="1" applyFill="1" applyBorder="1"/>
    <x:xf numFmtId="207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16c39cca54093" /><Relationship Type="http://schemas.openxmlformats.org/officeDocument/2006/relationships/theme" Target="/xl/theme/theme1.xml" Id="R2f0095dd003f4cf3" /><Relationship Type="http://schemas.openxmlformats.org/officeDocument/2006/relationships/sharedStrings" Target="/xl/sharedStrings.xml" Id="R42cfc0766bff4142" /><Relationship Type="http://schemas.openxmlformats.org/officeDocument/2006/relationships/worksheet" Target="/xl/worksheets/sheet1.xml" Id="R39acd57ec0ae4440" /><Relationship Type="http://schemas.openxmlformats.org/officeDocument/2006/relationships/worksheet" Target="/xl/worksheets/sheet2.xml" Id="R2583c2edd8bb4ac0" /><Relationship Type="http://schemas.openxmlformats.org/officeDocument/2006/relationships/worksheet" Target="/xl/worksheets/sheet3.xml" Id="R708002ca7ce64b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139"/>
  </x:sheetPr>
  <x:sheetViews>
    <x:sheetView showGridLines="0" workbookViewId="0"/>
  </x:sheetViews>
  <x:sheetFormatPr defaultRowHeight="15"/>
  <x:cols>
    <x:col min="1" max="1" width="9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1" customHeight="1">
      <x:c r="A2" s="2" t="str">
        <x:v>Crankshaft operating model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1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1" customHeight="1">
      <x:c r="A4" s="4" t="str">
        <x:v>Metric</x:v>
      </x:c>
      <x:c r="B4" s="4" t="str">
        <x:v>Year 1</x:v>
      </x:c>
      <x:c r="C4" s="4" t="str">
        <x:v>Year 2</x:v>
      </x:c>
      <x:c r="D4" s="4" t="str">
        <x:v>24 months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1" customHeight="1">
      <x:c r="A5" s="14" t="str">
        <x:v>Total revenue</x:v>
      </x:c>
      <x:c r="B5" s="24" t="n">
        <x:f>SUM(Forecast!B15:M15)</x:f>
        <x:v>121554.54289311371</x:v>
      </x:c>
      <x:c r="C5" s="24" t="n">
        <x:f>SUM(Forecast!N15:Y15)</x:f>
        <x:v>465535.8206418045</x:v>
      </x:c>
      <x:c r="D5" s="24" t="n">
        <x:f>SUM(Forecast!B15:Y15)</x:f>
        <x:v>587090.3635349182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1" customHeight="1">
      <x:c r="A6" s="1" t="str">
        <x:v>Gross profit</x:v>
      </x:c>
      <x:c r="B6" s="21" t="n">
        <x:f>SUM(Forecast!B20:M20)</x:f>
        <x:v>32174.64190698707</x:v>
      </x:c>
      <x:c r="C6" s="21" t="n">
        <x:f>SUM(Forecast!N20:Y20)</x:f>
        <x:v>123224.09321382904</x:v>
      </x:c>
      <x:c r="D6" s="21" t="n">
        <x:f>SUM(Forecast!B20:Y20)</x:f>
        <x:v>155398.7351208161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" customHeight="1">
      <x:c r="A7" s="16" t="str">
        <x:v>Operating profit</x:v>
      </x:c>
      <x:c r="B7" s="23" t="n">
        <x:f>SUM(Forecast!B23:M23)</x:f>
        <x:v>-74325.35809301292</x:v>
      </x:c>
      <x:c r="C7" s="23" t="n">
        <x:f>SUM(Forecast!N23:Y23)</x:f>
        <x:v>9224.093213829019</x:v>
      </x:c>
      <x:c r="D7" s="23" t="n">
        <x:f>SUM(Forecast!B23:Y23)</x:f>
        <x:v>-65101.26487918391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1" customHeight="1">
      <x:c r="A8" s="1" t="str">
        <x:v>Ending accounts</x:v>
      </x:c>
      <x:c r="B8" s="18" t="n">
        <x:f>Forecast!M7</x:f>
        <x:v>19.076775706752503</x:v>
      </x:c>
      <x:c r="C8" s="18" t="n">
        <x:f>Forecast!Y7</x:f>
        <x:v>47.26235637180645</x:v>
      </x:c>
      <x:c r="D8" s="18" t="n">
        <x:f>Forecast!Y7</x:f>
        <x:v>47.26235637180645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" customHeight="1">
      <x:c r="A9" s="1" t="str">
        <x:v>AI verifier minutes</x:v>
      </x:c>
      <x:c r="B9" s="18" t="n">
        <x:f>SUM(Forecast!B12:M12)</x:f>
        <x:v>24258.058777364862</x:v>
      </x:c>
      <x:c r="C9" s="18" t="n">
        <x:f>SUM(Forecast!N12:Y12)</x:f>
        <x:v>92904.75724982098</x:v>
      </x:c>
      <x:c r="D9" s="18" t="n">
        <x:f>SUM(Forecast!B12:Y12)</x:f>
        <x:v>117162.81602718584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" customHeight="1">
      <x:c r="A10" s="15" t="str">
        <x:v>Ending cash</x:v>
      </x:c>
      <x:c r="B10" s="22" t="n">
        <x:f>Forecast!M24</x:f>
        <x:v>-24325.358093012936</x:v>
      </x:c>
      <x:c r="C10" s="22" t="n">
        <x:f>Forecast!Y24</x:f>
        <x:v>-15101.26487918392</x:v>
      </x:c>
      <x:c r="D10" s="22" t="n">
        <x:f>Forecast!Y24</x:f>
        <x:v>-15101.26487918392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1" customHeight="1">
      <x:c r="A11" s="1" t="str">
        <x:v>Gross margin</x:v>
      </x:c>
      <x:c r="B11" s="25" t="n">
        <x:f>B6/B5</x:f>
        <x:v>0.26469304347826084</x:v>
      </x:c>
      <x:c r="C11" s="25" t="n">
        <x:f>C6/C5</x:f>
        <x:v>0.26469304347826095</x:v>
      </x:c>
      <x:c r="D11" s="25" t="n">
        <x:f>D6/D5</x:f>
        <x:v>0.2646930434782609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1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1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1" customHeight="1">
      <x:c r="A14" s="1" t="str">
        <x:v>Model basis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1" customHeight="1">
      <x:c r="A15" s="13" t="str">
        <x:v>Accounts start at zero; new accounts bill for half of their first month. Churn applies to opening accounts.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1" customHeight="1">
      <x:c r="A16" s="13" t="str">
        <x:v>Base forecast uses 18% of included AI minutes; full use is a downside stress with negative direct margin.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1" customHeight="1">
      <x:c r="A17" s="13" t="str">
        <x:v>Internal costs include listing/video/tools, stress-case audio tokens, telecom, fixed cost and acquisition.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1" customHeight="1">
      <x:c r="A18" s="13" t="str">
        <x:v>Cash assumes immediate collections and no tax, setup fees, capex, debt or working capital.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1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1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1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1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1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512A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7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1" customHeight="1">
      <x:c r="A2" s="2" t="str">
        <x:v>Crankshaft plan and voice assumptions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1" customHeight="1">
      <x:c r="A3" s="4" t="str">
        <x:v>Plan</x:v>
      </x:c>
      <x:c r="B3" s="4" t="str">
        <x:v>Fee / month</x:v>
      </x:c>
      <x:c r="C3" s="4" t="str">
        <x:v>Vehicles</x:v>
      </x:c>
      <x:c r="D3" s="4" t="str">
        <x:v>New listings</x:v>
      </x:c>
      <x:c r="E3" s="4" t="str">
        <x:v>Clips</x:v>
      </x:c>
      <x:c r="F3" s="4" t="str">
        <x:v>AI minutes</x:v>
      </x:c>
      <x:c r="G3" s="4" t="str">
        <x:v>Listing labor</x:v>
      </x:c>
      <x:c r="H3" s="4" t="str">
        <x:v>Video labor</x:v>
      </x:c>
      <x:c r="I3" s="4" t="str">
        <x:v>Tools and QA</x:v>
      </x:c>
      <x:c r="J3" s="4" t="str">
        <x:v>Account mix</x:v>
      </x:c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1" customHeight="1">
      <x:c r="A4" s="1" t="str">
        <x:v>Launch</x:v>
      </x:c>
      <x:c r="B4" s="8" t="n">
        <x:v>795</x:v>
      </x:c>
      <x:c r="C4" s="6" t="n">
        <x:v>30</x:v>
      </x:c>
      <x:c r="D4" s="6" t="n">
        <x:v>20</x:v>
      </x:c>
      <x:c r="E4" s="6" t="n">
        <x:v>10</x:v>
      </x:c>
      <x:c r="F4" s="6" t="n">
        <x:v>750</x:v>
      </x:c>
      <x:c r="G4" s="8" t="n">
        <x:v>260</x:v>
      </x:c>
      <x:c r="H4" s="8" t="n">
        <x:v>100</x:v>
      </x:c>
      <x:c r="I4" s="8" t="n">
        <x:v>95</x:v>
      </x:c>
      <x:c r="J4" s="7" t="n">
        <x:v>0.5</x:v>
      </x:c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1" customHeight="1">
      <x:c r="A5" s="1" t="str">
        <x:v>Growth</x:v>
      </x:c>
      <x:c r="B5" s="8" t="n">
        <x:v>1295</x:v>
      </x:c>
      <x:c r="C5" s="6" t="n">
        <x:v>60</x:v>
      </x:c>
      <x:c r="D5" s="6" t="n">
        <x:v>40</x:v>
      </x:c>
      <x:c r="E5" s="6" t="n">
        <x:v>25</x:v>
      </x:c>
      <x:c r="F5" s="6" t="n">
        <x:v>1500</x:v>
      </x:c>
      <x:c r="G5" s="8" t="n">
        <x:v>450</x:v>
      </x:c>
      <x:c r="H5" s="8" t="n">
        <x:v>250</x:v>
      </x:c>
      <x:c r="I5" s="8" t="n">
        <x:v>145</x:v>
      </x:c>
      <x:c r="J5" s="7" t="n">
        <x:v>0.35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1" customHeight="1">
      <x:c r="A6" s="1" t="str">
        <x:v>Scale</x:v>
      </x:c>
      <x:c r="B6" s="8" t="n">
        <x:v>1995</x:v>
      </x:c>
      <x:c r="C6" s="6" t="n">
        <x:v>100</x:v>
      </x:c>
      <x:c r="D6" s="6" t="n">
        <x:v>70</x:v>
      </x:c>
      <x:c r="E6" s="6" t="n">
        <x:v>50</x:v>
      </x:c>
      <x:c r="F6" s="6" t="n">
        <x:v>2500</x:v>
      </x:c>
      <x:c r="G6" s="8" t="n">
        <x:v>760</x:v>
      </x:c>
      <x:c r="H6" s="8" t="n">
        <x:v>500</x:v>
      </x:c>
      <x:c r="I6" s="8" t="n">
        <x:v>225</x:v>
      </x:c>
      <x:c r="J6" s="7" t="n">
        <x:v>0.15</x:v>
      </x:c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1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1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1" customHeight="1">
      <x:c r="A9" s="1" t="str">
        <x:v>Voice usage overage revenue (fixed zero)</x:v>
      </x:c>
      <x:c r="B9" s="6" t="n">
        <x:v>0</x:v>
      </x:c>
      <x:c r="C9" s="1"/>
      <x:c r="D9" s="13" t="str">
        <x:v>Proposed Crankshaft price and volume assumptions. See Business-Model.md.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1" customHeight="1">
      <x:c r="A10" s="1" t="str">
        <x:v>New accounts / month, months 1–3</x:v>
      </x:c>
      <x:c r="B10" s="6" t="n">
        <x:v>1</x:v>
      </x:c>
      <x:c r="C10" s="1"/>
      <x:c r="D10" s="13" t="str">
        <x:v>30,000 total measured tokens per decision; modality split still requires usage-log validation.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1" customHeight="1">
      <x:c r="A11" s="1" t="str">
        <x:v>New accounts / month, months 4–12</x:v>
      </x:c>
      <x:c r="B11" s="6" t="n">
        <x:v>2</x:v>
      </x:c>
      <x:c r="C11" s="1"/>
      <x:c r="D11" s="13" t="str">
        <x:v>OpenAI pricing: https://developers.openai.com/api/docs/pricing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21" customHeight="1">
      <x:c r="A12" s="1" t="str">
        <x:v>New accounts / month, months 13–24</x:v>
      </x:c>
      <x:c r="B12" s="6" t="n">
        <x:v>3</x:v>
      </x:c>
      <x:c r="C12" s="1"/>
      <x:c r="D12" s="13" t="str">
        <x:v>SignalWire pricing: https://signalwire.com/pricing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21" customHeight="1">
      <x:c r="A13" s="1" t="str">
        <x:v>Monthly account churn</x:v>
      </x:c>
      <x:c r="B13" s="7" t="n">
        <x:v>0.02</x:v>
      </x:c>
      <x:c r="C13" s="1"/>
      <x:c r="D13" s="13" t="str">
        <x:v>18% expected usage = 1.5 listing-sourced calls × 3 AI minutes ÷ 25 included minutes.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21" customHeight="1">
      <x:c r="A14" s="1" t="str">
        <x:v>Expected use of included AI minutes</x:v>
      </x:c>
      <x:c r="B14" s="7" t="n">
        <x:v>0.18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21" customHeight="1">
      <x:c r="A15" s="1" t="str">
        <x:v>30k-token decisions / call (internal)</x:v>
      </x:c>
      <x:c r="B15" s="6" t="n">
        <x:v>1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1" customHeight="1">
      <x:c r="A16" s="1" t="str">
        <x:v>AI minutes / call (internal)</x:v>
      </x:c>
      <x:c r="B16" s="6" t="n">
        <x:v>3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1" customHeight="1">
      <x:c r="A17" s="1" t="str">
        <x:v>Input tokens / decision</x:v>
      </x:c>
      <x:c r="B17" s="6" t="n">
        <x:v>24000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21" customHeight="1">
      <x:c r="A18" s="1" t="str">
        <x:v>Output tokens / decision</x:v>
      </x:c>
      <x:c r="B18" s="6" t="n">
        <x:v>6000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1" customHeight="1">
      <x:c r="A19" s="1" t="str">
        <x:v>Audio input price / 1M tokens</x:v>
      </x:c>
      <x:c r="B19" s="9" t="n">
        <x:v>32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21" customHeight="1">
      <x:c r="A20" s="1" t="str">
        <x:v>Audio output price / 1M tokens</x:v>
      </x:c>
      <x:c r="B20" s="9" t="n">
        <x:v>64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21" customHeight="1">
      <x:c r="A21" s="1" t="str">
        <x:v>SignalWire transport allowance / AI min</x:v>
      </x:c>
      <x:c r="B21" s="9" t="n">
        <x:v>0.05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21" customHeight="1">
      <x:c r="A22" s="1" t="str">
        <x:v>Monthly fixed operating cost</x:v>
      </x:c>
      <x:c r="B22" s="8" t="n">
        <x:v>8000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21" customHeight="1">
      <x:c r="A23" s="1" t="str">
        <x:v>Acquisition cost / new account</x:v>
      </x:c>
      <x:c r="B23" s="8" t="n">
        <x:v>500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1" customHeight="1">
      <x:c r="A24" s="1" t="str">
        <x:v>Opening cash</x:v>
      </x:c>
      <x:c r="B24" s="8" t="n">
        <x:v>50000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1" customHeight="1">
      <x:c r="A26" s="1" t="str">
        <x:v>Plan mix check</x:v>
      </x:c>
      <x:c r="B26" s="10" t="n">
        <x:f>SUM(J4:J6)</x:f>
        <x:v>1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1" customHeight="1">
      <x:c r="A27" s="1" t="str">
        <x:v>Token cost / decision</x:v>
      </x:c>
      <x:c r="B27" s="11" t="n">
        <x:f>(B17*B19+B18*B20)/1000000</x:f>
        <x:v>1.152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1" customHeight="1">
      <x:c r="A28" s="1" t="str">
        <x:v>Weighted plan fee</x:v>
      </x:c>
      <x:c r="B28" s="11" t="n">
        <x:f>SUMPRODUCT(B4:B6,J4:J6)</x:f>
        <x:v>1150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1" customHeight="1">
      <x:c r="A29" s="1" t="str">
        <x:v>Weighted included AI minutes</x:v>
      </x:c>
      <x:c r="B29" s="1" t="n">
        <x:f>SUMPRODUCT(F4:F6,J4:J6)</x:f>
        <x:v>1275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1" customHeight="1">
      <x:c r="A30" s="1" t="str">
        <x:v>Weighted listing, video and tools cost</x:v>
      </x:c>
      <x:c r="B30" s="12" t="n">
        <x:f>SUMPRODUCT(G4:G6,J4:J6)+SUMPRODUCT(H4:H6,J4:J6)+SUMPRODUCT(I4:I6,J4:J6)</x:f>
        <x:v>746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1" customHeight="1">
      <x:c r="A2" s="2" t="str">
        <x:v>24-month operating forecast (USD)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1" customHeight="1">
      <x:c r="A3" s="4" t="str">
        <x:v>Month</x:v>
      </x:c>
      <x:c r="B3" s="17" t="n">
        <x:v>46296</x:v>
      </x:c>
      <x:c r="C3" s="17" t="n">
        <x:v>46327</x:v>
      </x:c>
      <x:c r="D3" s="17" t="n">
        <x:v>46357</x:v>
      </x:c>
      <x:c r="E3" s="17" t="n">
        <x:v>46388</x:v>
      </x:c>
      <x:c r="F3" s="17" t="n">
        <x:v>46419</x:v>
      </x:c>
      <x:c r="G3" s="17" t="n">
        <x:v>46447</x:v>
      </x:c>
      <x:c r="H3" s="17" t="n">
        <x:v>46478</x:v>
      </x:c>
      <x:c r="I3" s="17" t="n">
        <x:v>46508</x:v>
      </x:c>
      <x:c r="J3" s="17" t="n">
        <x:v>46539</x:v>
      </x:c>
      <x:c r="K3" s="17" t="n">
        <x:v>46569</x:v>
      </x:c>
      <x:c r="L3" s="17" t="n">
        <x:v>46600</x:v>
      </x:c>
      <x:c r="M3" s="17" t="n">
        <x:v>46631</x:v>
      </x:c>
      <x:c r="N3" s="17" t="n">
        <x:v>46661</x:v>
      </x:c>
      <x:c r="O3" s="17" t="n">
        <x:v>46692</x:v>
      </x:c>
      <x:c r="P3" s="17" t="n">
        <x:v>46722</x:v>
      </x:c>
      <x:c r="Q3" s="17" t="n">
        <x:v>46753</x:v>
      </x:c>
      <x:c r="R3" s="17" t="n">
        <x:v>46784</x:v>
      </x:c>
      <x:c r="S3" s="17" t="n">
        <x:v>46813</x:v>
      </x:c>
      <x:c r="T3" s="17" t="n">
        <x:v>46844</x:v>
      </x:c>
      <x:c r="U3" s="17" t="n">
        <x:v>46874</x:v>
      </x:c>
      <x:c r="V3" s="17" t="n">
        <x:v>46905</x:v>
      </x:c>
      <x:c r="W3" s="17" t="n">
        <x:v>46935</x:v>
      </x:c>
      <x:c r="X3" s="17" t="n">
        <x:v>46966</x:v>
      </x:c>
      <x:c r="Y3" s="17" t="n">
        <x:v>46997</x:v>
      </x:c>
      <x:c r="Z3" s="1"/>
    </x:row>
    <x:row r="4" ht="21" customHeight="1">
      <x:c r="A4" s="1" t="str">
        <x:v>Opening accounts</x:v>
      </x:c>
      <x:c r="B4" s="18" t="n">
        <x:f>0</x:f>
        <x:v>0</x:v>
      </x:c>
      <x:c r="C4" s="18" t="n">
        <x:f>B7</x:f>
        <x:v>1</x:v>
      </x:c>
      <x:c r="D4" s="18" t="n">
        <x:f>C7</x:f>
        <x:v>1.98</x:v>
      </x:c>
      <x:c r="E4" s="18" t="n">
        <x:f>D7</x:f>
        <x:v>2.9404</x:v>
      </x:c>
      <x:c r="F4" s="18" t="n">
        <x:f>E7</x:f>
        <x:v>4.881592</x:v>
      </x:c>
      <x:c r="G4" s="18" t="n">
        <x:f>F7</x:f>
        <x:v>6.78396016</x:v>
      </x:c>
      <x:c r="H4" s="18" t="n">
        <x:f>G7</x:f>
        <x:v>8.648280956799999</x:v>
      </x:c>
      <x:c r="I4" s="18" t="n">
        <x:f>H7</x:f>
        <x:v>10.475315337663998</x:v>
      </x:c>
      <x:c r="J4" s="18" t="n">
        <x:f>I7</x:f>
        <x:v>12.265809030910718</x:v>
      </x:c>
      <x:c r="K4" s="18" t="n">
        <x:f>J7</x:f>
        <x:v>14.020492850292504</x:v>
      </x:c>
      <x:c r="L4" s="18" t="n">
        <x:f>K7</x:f>
        <x:v>15.740082993286656</x:v>
      </x:c>
      <x:c r="M4" s="18" t="n">
        <x:f>L7</x:f>
        <x:v>17.425281333420923</x:v>
      </x:c>
      <x:c r="N4" s="18" t="n">
        <x:f>M7</x:f>
        <x:v>19.076775706752503</x:v>
      </x:c>
      <x:c r="O4" s="18" t="n">
        <x:f>N7</x:f>
        <x:v>21.695240192617455</x:v>
      </x:c>
      <x:c r="P4" s="18" t="n">
        <x:f>O7</x:f>
        <x:v>24.261335388765104</x:v>
      </x:c>
      <x:c r="Q4" s="18" t="n">
        <x:f>P7</x:f>
        <x:v>26.776108680989804</x:v>
      </x:c>
      <x:c r="R4" s="18" t="n">
        <x:f>Q7</x:f>
        <x:v>29.240586507370008</x:v>
      </x:c>
      <x:c r="S4" s="18" t="n">
        <x:f>R7</x:f>
        <x:v>31.65577477722261</x:v>
      </x:c>
      <x:c r="T4" s="18" t="n">
        <x:f>S7</x:f>
        <x:v>34.02265928167816</x:v>
      </x:c>
      <x:c r="U4" s="18" t="n">
        <x:f>T7</x:f>
        <x:v>36.3422060960446</x:v>
      </x:c>
      <x:c r="V4" s="18" t="n">
        <x:f>U7</x:f>
        <x:v>38.61536197412371</x:v>
      </x:c>
      <x:c r="W4" s="18" t="n">
        <x:f>V7</x:f>
        <x:v>40.843054734641235</x:v>
      </x:c>
      <x:c r="X4" s="18" t="n">
        <x:f>W7</x:f>
        <x:v>43.02619363994841</x:v>
      </x:c>
      <x:c r="Y4" s="18" t="n">
        <x:f>X7</x:f>
        <x:v>45.16566976714944</x:v>
      </x:c>
      <x:c r="Z4" s="1"/>
    </x:row>
    <x:row r="5" ht="21" customHeight="1">
      <x:c r="A5" s="1" t="str">
        <x:v>New accounts</x:v>
      </x:c>
      <x:c r="B5" s="18" t="n">
        <x:f>Assumptions!$B$10</x:f>
        <x:v>1</x:v>
      </x:c>
      <x:c r="C5" s="18" t="n">
        <x:f>Assumptions!$B$10</x:f>
        <x:v>1</x:v>
      </x:c>
      <x:c r="D5" s="18" t="n">
        <x:f>Assumptions!$B$10</x:f>
        <x:v>1</x:v>
      </x:c>
      <x:c r="E5" s="18" t="n">
        <x:f>Assumptions!$B$11</x:f>
        <x:v>2</x:v>
      </x:c>
      <x:c r="F5" s="18" t="n">
        <x:f>Assumptions!$B$11</x:f>
        <x:v>2</x:v>
      </x:c>
      <x:c r="G5" s="18" t="n">
        <x:f>Assumptions!$B$11</x:f>
        <x:v>2</x:v>
      </x:c>
      <x:c r="H5" s="18" t="n">
        <x:f>Assumptions!$B$11</x:f>
        <x:v>2</x:v>
      </x:c>
      <x:c r="I5" s="18" t="n">
        <x:f>Assumptions!$B$11</x:f>
        <x:v>2</x:v>
      </x:c>
      <x:c r="J5" s="18" t="n">
        <x:f>Assumptions!$B$11</x:f>
        <x:v>2</x:v>
      </x:c>
      <x:c r="K5" s="18" t="n">
        <x:f>Assumptions!$B$11</x:f>
        <x:v>2</x:v>
      </x:c>
      <x:c r="L5" s="18" t="n">
        <x:f>Assumptions!$B$11</x:f>
        <x:v>2</x:v>
      </x:c>
      <x:c r="M5" s="18" t="n">
        <x:f>Assumptions!$B$11</x:f>
        <x:v>2</x:v>
      </x:c>
      <x:c r="N5" s="18" t="n">
        <x:f>Assumptions!$B$12</x:f>
        <x:v>3</x:v>
      </x:c>
      <x:c r="O5" s="18" t="n">
        <x:f>Assumptions!$B$12</x:f>
        <x:v>3</x:v>
      </x:c>
      <x:c r="P5" s="18" t="n">
        <x:f>Assumptions!$B$12</x:f>
        <x:v>3</x:v>
      </x:c>
      <x:c r="Q5" s="18" t="n">
        <x:f>Assumptions!$B$12</x:f>
        <x:v>3</x:v>
      </x:c>
      <x:c r="R5" s="18" t="n">
        <x:f>Assumptions!$B$12</x:f>
        <x:v>3</x:v>
      </x:c>
      <x:c r="S5" s="18" t="n">
        <x:f>Assumptions!$B$12</x:f>
        <x:v>3</x:v>
      </x:c>
      <x:c r="T5" s="18" t="n">
        <x:f>Assumptions!$B$12</x:f>
        <x:v>3</x:v>
      </x:c>
      <x:c r="U5" s="18" t="n">
        <x:f>Assumptions!$B$12</x:f>
        <x:v>3</x:v>
      </x:c>
      <x:c r="V5" s="18" t="n">
        <x:f>Assumptions!$B$12</x:f>
        <x:v>3</x:v>
      </x:c>
      <x:c r="W5" s="18" t="n">
        <x:f>Assumptions!$B$12</x:f>
        <x:v>3</x:v>
      </x:c>
      <x:c r="X5" s="18" t="n">
        <x:f>Assumptions!$B$12</x:f>
        <x:v>3</x:v>
      </x:c>
      <x:c r="Y5" s="18" t="n">
        <x:f>Assumptions!$B$12</x:f>
        <x:v>3</x:v>
      </x:c>
      <x:c r="Z5" s="1"/>
    </x:row>
    <x:row r="6" ht="21" customHeight="1">
      <x:c r="A6" s="1" t="str">
        <x:v>Account churn</x:v>
      </x:c>
      <x:c r="B6" s="18" t="n">
        <x:f>B4*Assumptions!$B$13</x:f>
        <x:v>0</x:v>
      </x:c>
      <x:c r="C6" s="18" t="n">
        <x:f>C4*Assumptions!$B$13</x:f>
        <x:v>0.02</x:v>
      </x:c>
      <x:c r="D6" s="18" t="n">
        <x:f>D4*Assumptions!$B$13</x:f>
        <x:v>0.0396</x:v>
      </x:c>
      <x:c r="E6" s="18" t="n">
        <x:f>E4*Assumptions!$B$13</x:f>
        <x:v>0.058808</x:v>
      </x:c>
      <x:c r="F6" s="18" t="n">
        <x:f>F4*Assumptions!$B$13</x:f>
        <x:v>0.09763184000000001</x:v>
      </x:c>
      <x:c r="G6" s="18" t="n">
        <x:f>G4*Assumptions!$B$13</x:f>
        <x:v>0.13567920320000001</x:v>
      </x:c>
      <x:c r="H6" s="18" t="n">
        <x:f>H4*Assumptions!$B$13</x:f>
        <x:v>0.17296561913599998</x:v>
      </x:c>
      <x:c r="I6" s="18" t="n">
        <x:f>I4*Assumptions!$B$13</x:f>
        <x:v>0.20950630675327997</x:v>
      </x:c>
      <x:c r="J6" s="18" t="n">
        <x:f>J4*Assumptions!$B$13</x:f>
        <x:v>0.24531618061821436</x:v>
      </x:c>
      <x:c r="K6" s="18" t="n">
        <x:f>K4*Assumptions!$B$13</x:f>
        <x:v>0.2804098570058501</x:v>
      </x:c>
      <x:c r="L6" s="18" t="n">
        <x:f>L4*Assumptions!$B$13</x:f>
        <x:v>0.3148016598657331</x:v>
      </x:c>
      <x:c r="M6" s="18" t="n">
        <x:f>M4*Assumptions!$B$13</x:f>
        <x:v>0.34850562666841844</x:v>
      </x:c>
      <x:c r="N6" s="18" t="n">
        <x:f>N4*Assumptions!$B$13</x:f>
        <x:v>0.38153551413505005</x:v>
      </x:c>
      <x:c r="O6" s="18" t="n">
        <x:f>O4*Assumptions!$B$13</x:f>
        <x:v>0.4339048038523491</x:v>
      </x:c>
      <x:c r="P6" s="18" t="n">
        <x:f>P4*Assumptions!$B$13</x:f>
        <x:v>0.4852267077753021</x:v>
      </x:c>
      <x:c r="Q6" s="18" t="n">
        <x:f>Q4*Assumptions!$B$13</x:f>
        <x:v>0.535522173619796</x:v>
      </x:c>
      <x:c r="R6" s="18" t="n">
        <x:f>R4*Assumptions!$B$13</x:f>
        <x:v>0.5848117301474002</x:v>
      </x:c>
      <x:c r="S6" s="18" t="n">
        <x:f>S4*Assumptions!$B$13</x:f>
        <x:v>0.6331154955444522</x:v>
      </x:c>
      <x:c r="T6" s="18" t="n">
        <x:f>T4*Assumptions!$B$13</x:f>
        <x:v>0.6804531856335632</x:v>
      </x:c>
      <x:c r="U6" s="18" t="n">
        <x:f>U4*Assumptions!$B$13</x:f>
        <x:v>0.726844121920892</x:v>
      </x:c>
      <x:c r="V6" s="18" t="n">
        <x:f>V4*Assumptions!$B$13</x:f>
        <x:v>0.7723072394824742</x:v>
      </x:c>
      <x:c r="W6" s="18" t="n">
        <x:f>W4*Assumptions!$B$13</x:f>
        <x:v>0.8168610946928248</x:v>
      </x:c>
      <x:c r="X6" s="18" t="n">
        <x:f>X4*Assumptions!$B$13</x:f>
        <x:v>0.8605238727989682</x:v>
      </x:c>
      <x:c r="Y6" s="18" t="n">
        <x:f>Y4*Assumptions!$B$13</x:f>
        <x:v>0.9033133953429888</x:v>
      </x:c>
      <x:c r="Z6" s="1"/>
    </x:row>
    <x:row r="7" ht="21" customHeight="1">
      <x:c r="A7" s="1" t="str">
        <x:v>Closing accounts</x:v>
      </x:c>
      <x:c r="B7" s="18" t="n">
        <x:f>B4+B5-B6</x:f>
        <x:v>1</x:v>
      </x:c>
      <x:c r="C7" s="18" t="n">
        <x:f>C4+C5-C6</x:f>
        <x:v>1.98</x:v>
      </x:c>
      <x:c r="D7" s="18" t="n">
        <x:f>D4+D5-D6</x:f>
        <x:v>2.9404</x:v>
      </x:c>
      <x:c r="E7" s="18" t="n">
        <x:f>E4+E5-E6</x:f>
        <x:v>4.881592</x:v>
      </x:c>
      <x:c r="F7" s="18" t="n">
        <x:f>F4+F5-F6</x:f>
        <x:v>6.78396016</x:v>
      </x:c>
      <x:c r="G7" s="18" t="n">
        <x:f>G4+G5-G6</x:f>
        <x:v>8.648280956799999</x:v>
      </x:c>
      <x:c r="H7" s="18" t="n">
        <x:f>H4+H5-H6</x:f>
        <x:v>10.475315337663998</x:v>
      </x:c>
      <x:c r="I7" s="18" t="n">
        <x:f>I4+I5-I6</x:f>
        <x:v>12.265809030910718</x:v>
      </x:c>
      <x:c r="J7" s="18" t="n">
        <x:f>J4+J5-J6</x:f>
        <x:v>14.020492850292504</x:v>
      </x:c>
      <x:c r="K7" s="18" t="n">
        <x:f>K4+K5-K6</x:f>
        <x:v>15.740082993286656</x:v>
      </x:c>
      <x:c r="L7" s="18" t="n">
        <x:f>L4+L5-L6</x:f>
        <x:v>17.425281333420923</x:v>
      </x:c>
      <x:c r="M7" s="18" t="n">
        <x:f>M4+M5-M6</x:f>
        <x:v>19.076775706752503</x:v>
      </x:c>
      <x:c r="N7" s="18" t="n">
        <x:f>N4+N5-N6</x:f>
        <x:v>21.695240192617455</x:v>
      </x:c>
      <x:c r="O7" s="18" t="n">
        <x:f>O4+O5-O6</x:f>
        <x:v>24.261335388765104</x:v>
      </x:c>
      <x:c r="P7" s="18" t="n">
        <x:f>P4+P5-P6</x:f>
        <x:v>26.776108680989804</x:v>
      </x:c>
      <x:c r="Q7" s="18" t="n">
        <x:f>Q4+Q5-Q6</x:f>
        <x:v>29.240586507370008</x:v>
      </x:c>
      <x:c r="R7" s="18" t="n">
        <x:f>R4+R5-R6</x:f>
        <x:v>31.65577477722261</x:v>
      </x:c>
      <x:c r="S7" s="18" t="n">
        <x:f>S4+S5-S6</x:f>
        <x:v>34.02265928167816</x:v>
      </x:c>
      <x:c r="T7" s="18" t="n">
        <x:f>T4+T5-T6</x:f>
        <x:v>36.3422060960446</x:v>
      </x:c>
      <x:c r="U7" s="18" t="n">
        <x:f>U4+U5-U6</x:f>
        <x:v>38.61536197412371</x:v>
      </x:c>
      <x:c r="V7" s="18" t="n">
        <x:f>V4+V5-V6</x:f>
        <x:v>40.843054734641235</x:v>
      </x:c>
      <x:c r="W7" s="18" t="n">
        <x:f>W4+W5-W6</x:f>
        <x:v>43.02619363994841</x:v>
      </x:c>
      <x:c r="X7" s="18" t="n">
        <x:f>X4+X5-X6</x:f>
        <x:v>45.16566976714944</x:v>
      </x:c>
      <x:c r="Y7" s="18" t="n">
        <x:f>Y4+Y5-Y6</x:f>
        <x:v>47.26235637180645</x:v>
      </x:c>
      <x:c r="Z7" s="1"/>
    </x:row>
    <x:row r="8" ht="21" customHeight="1">
      <x:c r="A8" s="1" t="str">
        <x:v>Average billable accounts</x:v>
      </x:c>
      <x:c r="B8" s="18" t="n">
        <x:f>AVERAGE(B4,B7)</x:f>
        <x:v>0.5</x:v>
      </x:c>
      <x:c r="C8" s="18" t="n">
        <x:f>AVERAGE(C4,C7)</x:f>
        <x:v>1.49</x:v>
      </x:c>
      <x:c r="D8" s="18" t="n">
        <x:f>AVERAGE(D4,D7)</x:f>
        <x:v>2.4602</x:v>
      </x:c>
      <x:c r="E8" s="18" t="n">
        <x:f>AVERAGE(E4,E7)</x:f>
        <x:v>3.910996</x:v>
      </x:c>
      <x:c r="F8" s="18" t="n">
        <x:f>AVERAGE(F4,F7)</x:f>
        <x:v>5.83277608</x:v>
      </x:c>
      <x:c r="G8" s="18" t="n">
        <x:f>AVERAGE(G4,G7)</x:f>
        <x:v>7.7161205584</x:v>
      </x:c>
      <x:c r="H8" s="18" t="n">
        <x:f>AVERAGE(H4,H7)</x:f>
        <x:v>9.561798147231999</x:v>
      </x:c>
      <x:c r="I8" s="18" t="n">
        <x:f>AVERAGE(I4,I7)</x:f>
        <x:v>11.370562184287358</x:v>
      </x:c>
      <x:c r="J8" s="18" t="n">
        <x:f>AVERAGE(J4,J7)</x:f>
        <x:v>13.143150940601611</x:v>
      </x:c>
      <x:c r="K8" s="18" t="n">
        <x:f>AVERAGE(K4,K7)</x:f>
        <x:v>14.88028792178958</x:v>
      </x:c>
      <x:c r="L8" s="18" t="n">
        <x:f>AVERAGE(L4,L7)</x:f>
        <x:v>16.582682163353788</x:v>
      </x:c>
      <x:c r="M8" s="18" t="n">
        <x:f>AVERAGE(M4,M7)</x:f>
        <x:v>18.251028520086713</x:v>
      </x:c>
      <x:c r="N8" s="18" t="n">
        <x:f>AVERAGE(N4,N7)</x:f>
        <x:v>20.38600794968498</x:v>
      </x:c>
      <x:c r="O8" s="18" t="n">
        <x:f>AVERAGE(O4,O7)</x:f>
        <x:v>22.97828779069128</x:v>
      </x:c>
      <x:c r="P8" s="18" t="n">
        <x:f>AVERAGE(P4,P7)</x:f>
        <x:v>25.518722034877456</x:v>
      </x:c>
      <x:c r="Q8" s="18" t="n">
        <x:f>AVERAGE(Q4,Q7)</x:f>
        <x:v>28.008347594179906</x:v>
      </x:c>
      <x:c r="R8" s="18" t="n">
        <x:f>AVERAGE(R4,R7)</x:f>
        <x:v>30.448180642296307</x:v>
      </x:c>
      <x:c r="S8" s="18" t="n">
        <x:f>AVERAGE(S4,S7)</x:f>
        <x:v>32.83921702945038</x:v>
      </x:c>
      <x:c r="T8" s="18" t="n">
        <x:f>AVERAGE(T4,T7)</x:f>
        <x:v>35.18243268886138</x:v>
      </x:c>
      <x:c r="U8" s="18" t="n">
        <x:f>AVERAGE(U4,U7)</x:f>
        <x:v>37.47878403508415</x:v>
      </x:c>
      <x:c r="V8" s="18" t="n">
        <x:f>AVERAGE(V4,V7)</x:f>
        <x:v>39.72920835438247</x:v>
      </x:c>
      <x:c r="W8" s="18" t="n">
        <x:f>AVERAGE(W4,W7)</x:f>
        <x:v>41.93462418729482</x:v>
      </x:c>
      <x:c r="X8" s="18" t="n">
        <x:f>AVERAGE(X4,X7)</x:f>
        <x:v>44.09593170354893</x:v>
      </x:c>
      <x:c r="Y8" s="18" t="n">
        <x:f>AVERAGE(Y4,Y7)</x:f>
        <x:v>46.21401306947794</x:v>
      </x:c>
      <x:c r="Z8" s="1"/>
    </x:row>
    <x:row r="9" ht="21" customHeight="1">
      <x:c r="A9" s="1" t="str">
        <x:v>Weighted monthly plan fee</x:v>
      </x:c>
      <x:c r="B9" s="12" t="n">
        <x:f>Assumptions!$B$28</x:f>
        <x:v>1150</x:v>
      </x:c>
      <x:c r="C9" s="12" t="n">
        <x:f>Assumptions!$B$28</x:f>
        <x:v>1150</x:v>
      </x:c>
      <x:c r="D9" s="12" t="n">
        <x:f>Assumptions!$B$28</x:f>
        <x:v>1150</x:v>
      </x:c>
      <x:c r="E9" s="12" t="n">
        <x:f>Assumptions!$B$28</x:f>
        <x:v>1150</x:v>
      </x:c>
      <x:c r="F9" s="12" t="n">
        <x:f>Assumptions!$B$28</x:f>
        <x:v>1150</x:v>
      </x:c>
      <x:c r="G9" s="12" t="n">
        <x:f>Assumptions!$B$28</x:f>
        <x:v>1150</x:v>
      </x:c>
      <x:c r="H9" s="12" t="n">
        <x:f>Assumptions!$B$28</x:f>
        <x:v>1150</x:v>
      </x:c>
      <x:c r="I9" s="12" t="n">
        <x:f>Assumptions!$B$28</x:f>
        <x:v>1150</x:v>
      </x:c>
      <x:c r="J9" s="12" t="n">
        <x:f>Assumptions!$B$28</x:f>
        <x:v>1150</x:v>
      </x:c>
      <x:c r="K9" s="12" t="n">
        <x:f>Assumptions!$B$28</x:f>
        <x:v>1150</x:v>
      </x:c>
      <x:c r="L9" s="12" t="n">
        <x:f>Assumptions!$B$28</x:f>
        <x:v>1150</x:v>
      </x:c>
      <x:c r="M9" s="12" t="n">
        <x:f>Assumptions!$B$28</x:f>
        <x:v>1150</x:v>
      </x:c>
      <x:c r="N9" s="12" t="n">
        <x:f>Assumptions!$B$28</x:f>
        <x:v>1150</x:v>
      </x:c>
      <x:c r="O9" s="12" t="n">
        <x:f>Assumptions!$B$28</x:f>
        <x:v>1150</x:v>
      </x:c>
      <x:c r="P9" s="12" t="n">
        <x:f>Assumptions!$B$28</x:f>
        <x:v>1150</x:v>
      </x:c>
      <x:c r="Q9" s="12" t="n">
        <x:f>Assumptions!$B$28</x:f>
        <x:v>1150</x:v>
      </x:c>
      <x:c r="R9" s="12" t="n">
        <x:f>Assumptions!$B$28</x:f>
        <x:v>1150</x:v>
      </x:c>
      <x:c r="S9" s="12" t="n">
        <x:f>Assumptions!$B$28</x:f>
        <x:v>1150</x:v>
      </x:c>
      <x:c r="T9" s="12" t="n">
        <x:f>Assumptions!$B$28</x:f>
        <x:v>1150</x:v>
      </x:c>
      <x:c r="U9" s="12" t="n">
        <x:f>Assumptions!$B$28</x:f>
        <x:v>1150</x:v>
      </x:c>
      <x:c r="V9" s="12" t="n">
        <x:f>Assumptions!$B$28</x:f>
        <x:v>1150</x:v>
      </x:c>
      <x:c r="W9" s="12" t="n">
        <x:f>Assumptions!$B$28</x:f>
        <x:v>1150</x:v>
      </x:c>
      <x:c r="X9" s="12" t="n">
        <x:f>Assumptions!$B$28</x:f>
        <x:v>1150</x:v>
      </x:c>
      <x:c r="Y9" s="12" t="n">
        <x:f>Assumptions!$B$28</x:f>
        <x:v>1150</x:v>
      </x:c>
      <x:c r="Z9" s="1"/>
    </x:row>
    <x:row r="10" ht="21" customHeight="1">
      <x:c r="A10" s="1" t="str">
        <x:v>Subscription revenue</x:v>
      </x:c>
      <x:c r="B10" s="12" t="n">
        <x:f>B8*B9</x:f>
        <x:v>575</x:v>
      </x:c>
      <x:c r="C10" s="12" t="n">
        <x:f>C8*C9</x:f>
        <x:v>1713.5</x:v>
      </x:c>
      <x:c r="D10" s="12" t="n">
        <x:f>D8*D9</x:f>
        <x:v>2829.23</x:v>
      </x:c>
      <x:c r="E10" s="12" t="n">
        <x:f>E8*E9</x:f>
        <x:v>4497.6454</x:v>
      </x:c>
      <x:c r="F10" s="12" t="n">
        <x:f>F8*F9</x:f>
        <x:v>6707.692492</x:v>
      </x:c>
      <x:c r="G10" s="12" t="n">
        <x:f>G8*G9</x:f>
        <x:v>8873.53864216</x:v>
      </x:c>
      <x:c r="H10" s="12" t="n">
        <x:f>H8*H9</x:f>
        <x:v>10996.0678693168</x:v>
      </x:c>
      <x:c r="I10" s="12" t="n">
        <x:f>I8*I9</x:f>
        <x:v>13076.146511930461</x:v>
      </x:c>
      <x:c r="J10" s="12" t="n">
        <x:f>J8*J9</x:f>
        <x:v>15114.623581691852</x:v>
      </x:c>
      <x:c r="K10" s="12" t="n">
        <x:f>K8*K9</x:f>
        <x:v>17112.331110058018</x:v>
      </x:c>
      <x:c r="L10" s="12" t="n">
        <x:f>L8*L9</x:f>
        <x:v>19070.084487856857</x:v>
      </x:c>
      <x:c r="M10" s="12" t="n">
        <x:f>M8*M9</x:f>
        <x:v>20988.68279809972</x:v>
      </x:c>
      <x:c r="N10" s="12" t="n">
        <x:f>N8*N9</x:f>
        <x:v>23443.909142137727</x:v>
      </x:c>
      <x:c r="O10" s="12" t="n">
        <x:f>O8*O9</x:f>
        <x:v>26425.03095929497</x:v>
      </x:c>
      <x:c r="P10" s="12" t="n">
        <x:f>P8*P9</x:f>
        <x:v>29346.530340109075</x:v>
      </x:c>
      <x:c r="Q10" s="12" t="n">
        <x:f>Q8*Q9</x:f>
        <x:v>32209.59973330689</x:v>
      </x:c>
      <x:c r="R10" s="12" t="n">
        <x:f>R8*R9</x:f>
        <x:v>35015.40773864075</x:v>
      </x:c>
      <x:c r="S10" s="12" t="n">
        <x:f>S8*S9</x:f>
        <x:v>37765.09958386794</x:v>
      </x:c>
      <x:c r="T10" s="12" t="n">
        <x:f>T8*T9</x:f>
        <x:v>40459.79759219059</x:v>
      </x:c>
      <x:c r="U10" s="12" t="n">
        <x:f>U8*U9</x:f>
        <x:v>43100.60164034677</x:v>
      </x:c>
      <x:c r="V10" s="12" t="n">
        <x:f>V8*V9</x:f>
        <x:v>45688.58960753984</x:v>
      </x:c>
      <x:c r="W10" s="12" t="n">
        <x:f>W8*W9</x:f>
        <x:v>48224.81781538905</x:v>
      </x:c>
      <x:c r="X10" s="12" t="n">
        <x:f>X8*X9</x:f>
        <x:v>50710.321459081264</x:v>
      </x:c>
      <x:c r="Y10" s="12" t="n">
        <x:f>Y8*Y9</x:f>
        <x:v>53146.115029899636</x:v>
      </x:c>
      <x:c r="Z10" s="1"/>
    </x:row>
    <x:row r="11" ht="21" customHeight="1">
      <x:c r="A11" s="1" t="str">
        <x:v>Included AI minutes / account</x:v>
      </x:c>
      <x:c r="B11" s="18" t="n">
        <x:f>Assumptions!$B$29</x:f>
        <x:v>1275</x:v>
      </x:c>
      <x:c r="C11" s="18" t="n">
        <x:f>Assumptions!$B$29</x:f>
        <x:v>1275</x:v>
      </x:c>
      <x:c r="D11" s="18" t="n">
        <x:f>Assumptions!$B$29</x:f>
        <x:v>1275</x:v>
      </x:c>
      <x:c r="E11" s="18" t="n">
        <x:f>Assumptions!$B$29</x:f>
        <x:v>1275</x:v>
      </x:c>
      <x:c r="F11" s="18" t="n">
        <x:f>Assumptions!$B$29</x:f>
        <x:v>1275</x:v>
      </x:c>
      <x:c r="G11" s="18" t="n">
        <x:f>Assumptions!$B$29</x:f>
        <x:v>1275</x:v>
      </x:c>
      <x:c r="H11" s="18" t="n">
        <x:f>Assumptions!$B$29</x:f>
        <x:v>1275</x:v>
      </x:c>
      <x:c r="I11" s="18" t="n">
        <x:f>Assumptions!$B$29</x:f>
        <x:v>1275</x:v>
      </x:c>
      <x:c r="J11" s="18" t="n">
        <x:f>Assumptions!$B$29</x:f>
        <x:v>1275</x:v>
      </x:c>
      <x:c r="K11" s="18" t="n">
        <x:f>Assumptions!$B$29</x:f>
        <x:v>1275</x:v>
      </x:c>
      <x:c r="L11" s="18" t="n">
        <x:f>Assumptions!$B$29</x:f>
        <x:v>1275</x:v>
      </x:c>
      <x:c r="M11" s="18" t="n">
        <x:f>Assumptions!$B$29</x:f>
        <x:v>1275</x:v>
      </x:c>
      <x:c r="N11" s="18" t="n">
        <x:f>Assumptions!$B$29</x:f>
        <x:v>1275</x:v>
      </x:c>
      <x:c r="O11" s="18" t="n">
        <x:f>Assumptions!$B$29</x:f>
        <x:v>1275</x:v>
      </x:c>
      <x:c r="P11" s="18" t="n">
        <x:f>Assumptions!$B$29</x:f>
        <x:v>1275</x:v>
      </x:c>
      <x:c r="Q11" s="18" t="n">
        <x:f>Assumptions!$B$29</x:f>
        <x:v>1275</x:v>
      </x:c>
      <x:c r="R11" s="18" t="n">
        <x:f>Assumptions!$B$29</x:f>
        <x:v>1275</x:v>
      </x:c>
      <x:c r="S11" s="18" t="n">
        <x:f>Assumptions!$B$29</x:f>
        <x:v>1275</x:v>
      </x:c>
      <x:c r="T11" s="18" t="n">
        <x:f>Assumptions!$B$29</x:f>
        <x:v>1275</x:v>
      </x:c>
      <x:c r="U11" s="18" t="n">
        <x:f>Assumptions!$B$29</x:f>
        <x:v>1275</x:v>
      </x:c>
      <x:c r="V11" s="18" t="n">
        <x:f>Assumptions!$B$29</x:f>
        <x:v>1275</x:v>
      </x:c>
      <x:c r="W11" s="18" t="n">
        <x:f>Assumptions!$B$29</x:f>
        <x:v>1275</x:v>
      </x:c>
      <x:c r="X11" s="18" t="n">
        <x:f>Assumptions!$B$29</x:f>
        <x:v>1275</x:v>
      </x:c>
      <x:c r="Y11" s="18" t="n">
        <x:f>Assumptions!$B$29</x:f>
        <x:v>1275</x:v>
      </x:c>
      <x:c r="Z11" s="1"/>
    </x:row>
    <x:row r="12" ht="21" customHeight="1">
      <x:c r="A12" s="1" t="str">
        <x:v>AI verifier minutes used</x:v>
      </x:c>
      <x:c r="B12" s="18" t="n">
        <x:f>B8*B11*Assumptions!$B$14</x:f>
        <x:v>114.75</x:v>
      </x:c>
      <x:c r="C12" s="18" t="n">
        <x:f>C8*C11*Assumptions!$B$14</x:f>
        <x:v>341.955</x:v>
      </x:c>
      <x:c r="D12" s="18" t="n">
        <x:f>D8*D11*Assumptions!$B$14</x:f>
        <x:v>564.6159</x:v>
      </x:c>
      <x:c r="E12" s="18" t="n">
        <x:f>E8*E11*Assumptions!$B$14</x:f>
        <x:v>897.573582</x:v>
      </x:c>
      <x:c r="F12" s="18" t="n">
        <x:f>F8*F11*Assumptions!$B$14</x:f>
        <x:v>1338.62211036</x:v>
      </x:c>
      <x:c r="G12" s="18" t="n">
        <x:f>G8*G11*Assumptions!$B$14</x:f>
        <x:v>1770.8496681527997</x:v>
      </x:c>
      <x:c r="H12" s="18" t="n">
        <x:f>H8*H11*Assumptions!$B$14</x:f>
        <x:v>2194.4326747897435</x:v>
      </x:c>
      <x:c r="I12" s="18" t="n">
        <x:f>I8*I11*Assumptions!$B$14</x:f>
        <x:v>2609.544021293949</x:v>
      </x:c>
      <x:c r="J12" s="18" t="n">
        <x:f>J8*J11*Assumptions!$B$14</x:f>
        <x:v>3016.35314086807</x:v>
      </x:c>
      <x:c r="K12" s="18" t="n">
        <x:f>K8*K11*Assumptions!$B$14</x:f>
        <x:v>3415.0260780507083</x:v>
      </x:c>
      <x:c r="L12" s="18" t="n">
        <x:f>L8*L11*Assumptions!$B$14</x:f>
        <x:v>3805.725556489694</x:v>
      </x:c>
      <x:c r="M12" s="18" t="n">
        <x:f>M8*M11*Assumptions!$B$14</x:f>
        <x:v>4188.6110453599</x:v>
      </x:c>
      <x:c r="N12" s="18" t="n">
        <x:f>N8*N11*Assumptions!$B$14</x:f>
        <x:v>4678.588824452702</x:v>
      </x:c>
      <x:c r="O12" s="18" t="n">
        <x:f>O8*O11*Assumptions!$B$14</x:f>
        <x:v>5273.517047963648</x:v>
      </x:c>
      <x:c r="P12" s="18" t="n">
        <x:f>P8*P11*Assumptions!$B$14</x:f>
        <x:v>5856.546707004376</x:v>
      </x:c>
      <x:c r="Q12" s="18" t="n">
        <x:f>Q8*Q11*Assumptions!$B$14</x:f>
        <x:v>6427.915772864288</x:v>
      </x:c>
      <x:c r="R12" s="18" t="n">
        <x:f>R8*R11*Assumptions!$B$14</x:f>
        <x:v>6987.857457407003</x:v>
      </x:c>
      <x:c r="S12" s="18" t="n">
        <x:f>S8*S11*Assumptions!$B$14</x:f>
        <x:v>7536.600308258862</x:v>
      </x:c>
      <x:c r="T12" s="18" t="n">
        <x:f>T8*T11*Assumptions!$B$14</x:f>
        <x:v>8074.368302093687</x:v>
      </x:c>
      <x:c r="U12" s="18" t="n">
        <x:f>U8*U11*Assumptions!$B$14</x:f>
        <x:v>8601.380936051813</x:v>
      </x:c>
      <x:c r="V12" s="18" t="n">
        <x:f>V8*V11*Assumptions!$B$14</x:f>
        <x:v>9117.853317330777</x:v>
      </x:c>
      <x:c r="W12" s="18" t="n">
        <x:f>W8*W11*Assumptions!$B$14</x:f>
        <x:v>9623.99625098416</x:v>
      </x:c>
      <x:c r="X12" s="18" t="n">
        <x:f>X8*X11*Assumptions!$B$14</x:f>
        <x:v>10120.016325964478</x:v>
      </x:c>
      <x:c r="Y12" s="18" t="n">
        <x:f>Y8*Y11*Assumptions!$B$14</x:f>
        <x:v>10606.115999445188</x:v>
      </x:c>
      <x:c r="Z12" s="1"/>
    </x:row>
    <x:row r="13" ht="21" customHeight="1">
      <x:c r="A13" s="1" t="str">
        <x:v>Minutes above plan for upgrade</x:v>
      </x:c>
      <x:c r="B13" s="18" t="n">
        <x:f>MAX(0,B12-B8*B11)</x:f>
        <x:v>0</x:v>
      </x:c>
      <x:c r="C13" s="18" t="n">
        <x:f>MAX(0,C12-C8*C11)</x:f>
        <x:v>0</x:v>
      </x:c>
      <x:c r="D13" s="18" t="n">
        <x:f>MAX(0,D12-D8*D11)</x:f>
        <x:v>0</x:v>
      </x:c>
      <x:c r="E13" s="18" t="n">
        <x:f>MAX(0,E12-E8*E11)</x:f>
        <x:v>0</x:v>
      </x:c>
      <x:c r="F13" s="18" t="n">
        <x:f>MAX(0,F12-F8*F11)</x:f>
        <x:v>0</x:v>
      </x:c>
      <x:c r="G13" s="18" t="n">
        <x:f>MAX(0,G12-G8*G11)</x:f>
        <x:v>0</x:v>
      </x:c>
      <x:c r="H13" s="18" t="n">
        <x:f>MAX(0,H12-H8*H11)</x:f>
        <x:v>0</x:v>
      </x:c>
      <x:c r="I13" s="18" t="n">
        <x:f>MAX(0,I12-I8*I11)</x:f>
        <x:v>0</x:v>
      </x:c>
      <x:c r="J13" s="18" t="n">
        <x:f>MAX(0,J12-J8*J11)</x:f>
        <x:v>0</x:v>
      </x:c>
      <x:c r="K13" s="18" t="n">
        <x:f>MAX(0,K12-K8*K11)</x:f>
        <x:v>0</x:v>
      </x:c>
      <x:c r="L13" s="18" t="n">
        <x:f>MAX(0,L12-L8*L11)</x:f>
        <x:v>0</x:v>
      </x:c>
      <x:c r="M13" s="18" t="n">
        <x:f>MAX(0,M12-M8*M11)</x:f>
        <x:v>0</x:v>
      </x:c>
      <x:c r="N13" s="18" t="n">
        <x:f>MAX(0,N12-N8*N11)</x:f>
        <x:v>0</x:v>
      </x:c>
      <x:c r="O13" s="18" t="n">
        <x:f>MAX(0,O12-O8*O11)</x:f>
        <x:v>0</x:v>
      </x:c>
      <x:c r="P13" s="18" t="n">
        <x:f>MAX(0,P12-P8*P11)</x:f>
        <x:v>0</x:v>
      </x:c>
      <x:c r="Q13" s="18" t="n">
        <x:f>MAX(0,Q12-Q8*Q11)</x:f>
        <x:v>0</x:v>
      </x:c>
      <x:c r="R13" s="18" t="n">
        <x:f>MAX(0,R12-R8*R11)</x:f>
        <x:v>0</x:v>
      </x:c>
      <x:c r="S13" s="18" t="n">
        <x:f>MAX(0,S12-S8*S11)</x:f>
        <x:v>0</x:v>
      </x:c>
      <x:c r="T13" s="18" t="n">
        <x:f>MAX(0,T12-T8*T11)</x:f>
        <x:v>0</x:v>
      </x:c>
      <x:c r="U13" s="18" t="n">
        <x:f>MAX(0,U12-U8*U11)</x:f>
        <x:v>0</x:v>
      </x:c>
      <x:c r="V13" s="18" t="n">
        <x:f>MAX(0,V12-V8*V11)</x:f>
        <x:v>0</x:v>
      </x:c>
      <x:c r="W13" s="18" t="n">
        <x:f>MAX(0,W12-W8*W11)</x:f>
        <x:v>0</x:v>
      </x:c>
      <x:c r="X13" s="18" t="n">
        <x:f>MAX(0,X12-X8*X11)</x:f>
        <x:v>0</x:v>
      </x:c>
      <x:c r="Y13" s="18" t="n">
        <x:f>MAX(0,Y12-Y8*Y11)</x:f>
        <x:v>0</x:v>
      </x:c>
      <x:c r="Z13" s="1"/>
    </x:row>
    <x:row r="14" ht="21" customHeight="1">
      <x:c r="A14" s="1" t="str">
        <x:v>Usage overage revenue (zero)</x:v>
      </x:c>
      <x:c r="B14" s="12" t="n">
        <x:f>Assumptions!$B$9</x:f>
        <x:v>0</x:v>
      </x:c>
      <x:c r="C14" s="12" t="n">
        <x:f>Assumptions!$B$9</x:f>
        <x:v>0</x:v>
      </x:c>
      <x:c r="D14" s="12" t="n">
        <x:f>Assumptions!$B$9</x:f>
        <x:v>0</x:v>
      </x:c>
      <x:c r="E14" s="12" t="n">
        <x:f>Assumptions!$B$9</x:f>
        <x:v>0</x:v>
      </x:c>
      <x:c r="F14" s="12" t="n">
        <x:f>Assumptions!$B$9</x:f>
        <x:v>0</x:v>
      </x:c>
      <x:c r="G14" s="12" t="n">
        <x:f>Assumptions!$B$9</x:f>
        <x:v>0</x:v>
      </x:c>
      <x:c r="H14" s="12" t="n">
        <x:f>Assumptions!$B$9</x:f>
        <x:v>0</x:v>
      </x:c>
      <x:c r="I14" s="12" t="n">
        <x:f>Assumptions!$B$9</x:f>
        <x:v>0</x:v>
      </x:c>
      <x:c r="J14" s="12" t="n">
        <x:f>Assumptions!$B$9</x:f>
        <x:v>0</x:v>
      </x:c>
      <x:c r="K14" s="12" t="n">
        <x:f>Assumptions!$B$9</x:f>
        <x:v>0</x:v>
      </x:c>
      <x:c r="L14" s="12" t="n">
        <x:f>Assumptions!$B$9</x:f>
        <x:v>0</x:v>
      </x:c>
      <x:c r="M14" s="12" t="n">
        <x:f>Assumptions!$B$9</x:f>
        <x:v>0</x:v>
      </x:c>
      <x:c r="N14" s="12" t="n">
        <x:f>Assumptions!$B$9</x:f>
        <x:v>0</x:v>
      </x:c>
      <x:c r="O14" s="12" t="n">
        <x:f>Assumptions!$B$9</x:f>
        <x:v>0</x:v>
      </x:c>
      <x:c r="P14" s="12" t="n">
        <x:f>Assumptions!$B$9</x:f>
        <x:v>0</x:v>
      </x:c>
      <x:c r="Q14" s="12" t="n">
        <x:f>Assumptions!$B$9</x:f>
        <x:v>0</x:v>
      </x:c>
      <x:c r="R14" s="12" t="n">
        <x:f>Assumptions!$B$9</x:f>
        <x:v>0</x:v>
      </x:c>
      <x:c r="S14" s="12" t="n">
        <x:f>Assumptions!$B$9</x:f>
        <x:v>0</x:v>
      </x:c>
      <x:c r="T14" s="12" t="n">
        <x:f>Assumptions!$B$9</x:f>
        <x:v>0</x:v>
      </x:c>
      <x:c r="U14" s="12" t="n">
        <x:f>Assumptions!$B$9</x:f>
        <x:v>0</x:v>
      </x:c>
      <x:c r="V14" s="12" t="n">
        <x:f>Assumptions!$B$9</x:f>
        <x:v>0</x:v>
      </x:c>
      <x:c r="W14" s="12" t="n">
        <x:f>Assumptions!$B$9</x:f>
        <x:v>0</x:v>
      </x:c>
      <x:c r="X14" s="12" t="n">
        <x:f>Assumptions!$B$9</x:f>
        <x:v>0</x:v>
      </x:c>
      <x:c r="Y14" s="12" t="n">
        <x:f>Assumptions!$B$9</x:f>
        <x:v>0</x:v>
      </x:c>
      <x:c r="Z14" s="1"/>
    </x:row>
    <x:row r="15" ht="21" customHeight="1">
      <x:c r="A15" s="14" t="str">
        <x:v>Total revenue</x:v>
      </x:c>
      <x:c r="B15" s="19" t="n">
        <x:f>B10+B14</x:f>
        <x:v>575</x:v>
      </x:c>
      <x:c r="C15" s="19" t="n">
        <x:f>C10+C14</x:f>
        <x:v>1713.5</x:v>
      </x:c>
      <x:c r="D15" s="19" t="n">
        <x:f>D10+D14</x:f>
        <x:v>2829.23</x:v>
      </x:c>
      <x:c r="E15" s="19" t="n">
        <x:f>E10+E14</x:f>
        <x:v>4497.6454</x:v>
      </x:c>
      <x:c r="F15" s="19" t="n">
        <x:f>F10+F14</x:f>
        <x:v>6707.692492</x:v>
      </x:c>
      <x:c r="G15" s="19" t="n">
        <x:f>G10+G14</x:f>
        <x:v>8873.53864216</x:v>
      </x:c>
      <x:c r="H15" s="19" t="n">
        <x:f>H10+H14</x:f>
        <x:v>10996.0678693168</x:v>
      </x:c>
      <x:c r="I15" s="19" t="n">
        <x:f>I10+I14</x:f>
        <x:v>13076.146511930461</x:v>
      </x:c>
      <x:c r="J15" s="19" t="n">
        <x:f>J10+J14</x:f>
        <x:v>15114.623581691852</x:v>
      </x:c>
      <x:c r="K15" s="19" t="n">
        <x:f>K10+K14</x:f>
        <x:v>17112.331110058018</x:v>
      </x:c>
      <x:c r="L15" s="19" t="n">
        <x:f>L10+L14</x:f>
        <x:v>19070.084487856857</x:v>
      </x:c>
      <x:c r="M15" s="19" t="n">
        <x:f>M10+M14</x:f>
        <x:v>20988.68279809972</x:v>
      </x:c>
      <x:c r="N15" s="19" t="n">
        <x:f>N10+N14</x:f>
        <x:v>23443.909142137727</x:v>
      </x:c>
      <x:c r="O15" s="19" t="n">
        <x:f>O10+O14</x:f>
        <x:v>26425.03095929497</x:v>
      </x:c>
      <x:c r="P15" s="19" t="n">
        <x:f>P10+P14</x:f>
        <x:v>29346.530340109075</x:v>
      </x:c>
      <x:c r="Q15" s="19" t="n">
        <x:f>Q10+Q14</x:f>
        <x:v>32209.59973330689</x:v>
      </x:c>
      <x:c r="R15" s="19" t="n">
        <x:f>R10+R14</x:f>
        <x:v>35015.40773864075</x:v>
      </x:c>
      <x:c r="S15" s="19" t="n">
        <x:f>S10+S14</x:f>
        <x:v>37765.09958386794</x:v>
      </x:c>
      <x:c r="T15" s="19" t="n">
        <x:f>T10+T14</x:f>
        <x:v>40459.79759219059</x:v>
      </x:c>
      <x:c r="U15" s="19" t="n">
        <x:f>U10+U14</x:f>
        <x:v>43100.60164034677</x:v>
      </x:c>
      <x:c r="V15" s="19" t="n">
        <x:f>V10+V14</x:f>
        <x:v>45688.58960753984</x:v>
      </x:c>
      <x:c r="W15" s="19" t="n">
        <x:f>W10+W14</x:f>
        <x:v>48224.81781538905</x:v>
      </x:c>
      <x:c r="X15" s="19" t="n">
        <x:f>X10+X14</x:f>
        <x:v>50710.321459081264</x:v>
      </x:c>
      <x:c r="Y15" s="19" t="n">
        <x:f>Y10+Y14</x:f>
        <x:v>53146.115029899636</x:v>
      </x:c>
      <x:c r="Z15" s="1"/>
    </x:row>
    <x:row r="16" ht="21" customHeight="1">
      <x:c r="A16" s="1" t="str">
        <x:v>Internal voice cost / AI minute</x:v>
      </x:c>
      <x:c r="B16" s="20" t="n">
        <x:f>Assumptions!$B$27*Assumptions!$B$15/Assumptions!$B$16+Assumptions!$B$21</x:f>
        <x:v>0.43399999999999994</x:v>
      </x:c>
      <x:c r="C16" s="20" t="n">
        <x:f>Assumptions!$B$27*Assumptions!$B$15/Assumptions!$B$16+Assumptions!$B$21</x:f>
        <x:v>0.43399999999999994</x:v>
      </x:c>
      <x:c r="D16" s="20" t="n">
        <x:f>Assumptions!$B$27*Assumptions!$B$15/Assumptions!$B$16+Assumptions!$B$21</x:f>
        <x:v>0.43399999999999994</x:v>
      </x:c>
      <x:c r="E16" s="20" t="n">
        <x:f>Assumptions!$B$27*Assumptions!$B$15/Assumptions!$B$16+Assumptions!$B$21</x:f>
        <x:v>0.43399999999999994</x:v>
      </x:c>
      <x:c r="F16" s="20" t="n">
        <x:f>Assumptions!$B$27*Assumptions!$B$15/Assumptions!$B$16+Assumptions!$B$21</x:f>
        <x:v>0.43399999999999994</x:v>
      </x:c>
      <x:c r="G16" s="20" t="n">
        <x:f>Assumptions!$B$27*Assumptions!$B$15/Assumptions!$B$16+Assumptions!$B$21</x:f>
        <x:v>0.43399999999999994</x:v>
      </x:c>
      <x:c r="H16" s="20" t="n">
        <x:f>Assumptions!$B$27*Assumptions!$B$15/Assumptions!$B$16+Assumptions!$B$21</x:f>
        <x:v>0.43399999999999994</x:v>
      </x:c>
      <x:c r="I16" s="20" t="n">
        <x:f>Assumptions!$B$27*Assumptions!$B$15/Assumptions!$B$16+Assumptions!$B$21</x:f>
        <x:v>0.43399999999999994</x:v>
      </x:c>
      <x:c r="J16" s="20" t="n">
        <x:f>Assumptions!$B$27*Assumptions!$B$15/Assumptions!$B$16+Assumptions!$B$21</x:f>
        <x:v>0.43399999999999994</x:v>
      </x:c>
      <x:c r="K16" s="20" t="n">
        <x:f>Assumptions!$B$27*Assumptions!$B$15/Assumptions!$B$16+Assumptions!$B$21</x:f>
        <x:v>0.43399999999999994</x:v>
      </x:c>
      <x:c r="L16" s="20" t="n">
        <x:f>Assumptions!$B$27*Assumptions!$B$15/Assumptions!$B$16+Assumptions!$B$21</x:f>
        <x:v>0.43399999999999994</x:v>
      </x:c>
      <x:c r="M16" s="20" t="n">
        <x:f>Assumptions!$B$27*Assumptions!$B$15/Assumptions!$B$16+Assumptions!$B$21</x:f>
        <x:v>0.43399999999999994</x:v>
      </x:c>
      <x:c r="N16" s="20" t="n">
        <x:f>Assumptions!$B$27*Assumptions!$B$15/Assumptions!$B$16+Assumptions!$B$21</x:f>
        <x:v>0.43399999999999994</x:v>
      </x:c>
      <x:c r="O16" s="20" t="n">
        <x:f>Assumptions!$B$27*Assumptions!$B$15/Assumptions!$B$16+Assumptions!$B$21</x:f>
        <x:v>0.43399999999999994</x:v>
      </x:c>
      <x:c r="P16" s="20" t="n">
        <x:f>Assumptions!$B$27*Assumptions!$B$15/Assumptions!$B$16+Assumptions!$B$21</x:f>
        <x:v>0.43399999999999994</x:v>
      </x:c>
      <x:c r="Q16" s="20" t="n">
        <x:f>Assumptions!$B$27*Assumptions!$B$15/Assumptions!$B$16+Assumptions!$B$21</x:f>
        <x:v>0.43399999999999994</x:v>
      </x:c>
      <x:c r="R16" s="20" t="n">
        <x:f>Assumptions!$B$27*Assumptions!$B$15/Assumptions!$B$16+Assumptions!$B$21</x:f>
        <x:v>0.43399999999999994</x:v>
      </x:c>
      <x:c r="S16" s="20" t="n">
        <x:f>Assumptions!$B$27*Assumptions!$B$15/Assumptions!$B$16+Assumptions!$B$21</x:f>
        <x:v>0.43399999999999994</x:v>
      </x:c>
      <x:c r="T16" s="20" t="n">
        <x:f>Assumptions!$B$27*Assumptions!$B$15/Assumptions!$B$16+Assumptions!$B$21</x:f>
        <x:v>0.43399999999999994</x:v>
      </x:c>
      <x:c r="U16" s="20" t="n">
        <x:f>Assumptions!$B$27*Assumptions!$B$15/Assumptions!$B$16+Assumptions!$B$21</x:f>
        <x:v>0.43399999999999994</x:v>
      </x:c>
      <x:c r="V16" s="20" t="n">
        <x:f>Assumptions!$B$27*Assumptions!$B$15/Assumptions!$B$16+Assumptions!$B$21</x:f>
        <x:v>0.43399999999999994</x:v>
      </x:c>
      <x:c r="W16" s="20" t="n">
        <x:f>Assumptions!$B$27*Assumptions!$B$15/Assumptions!$B$16+Assumptions!$B$21</x:f>
        <x:v>0.43399999999999994</x:v>
      </x:c>
      <x:c r="X16" s="20" t="n">
        <x:f>Assumptions!$B$27*Assumptions!$B$15/Assumptions!$B$16+Assumptions!$B$21</x:f>
        <x:v>0.43399999999999994</x:v>
      </x:c>
      <x:c r="Y16" s="20" t="n">
        <x:f>Assumptions!$B$27*Assumptions!$B$15/Assumptions!$B$16+Assumptions!$B$21</x:f>
        <x:v>0.43399999999999994</x:v>
      </x:c>
      <x:c r="Z16" s="1"/>
    </x:row>
    <x:row r="17" ht="21" customHeight="1">
      <x:c r="A17" s="1" t="str">
        <x:v>Voice token + telecom cost</x:v>
      </x:c>
      <x:c r="B17" s="21" t="n">
        <x:f>B12*B16</x:f>
        <x:v>49.80149999999999</x:v>
      </x:c>
      <x:c r="C17" s="21" t="n">
        <x:f>C12*C16</x:f>
        <x:v>148.40846999999997</x:v>
      </x:c>
      <x:c r="D17" s="21" t="n">
        <x:f>D12*D16</x:f>
        <x:v>245.04330059999998</x:v>
      </x:c>
      <x:c r="E17" s="21" t="n">
        <x:f>E12*E16</x:f>
        <x:v>389.54693458799994</x:v>
      </x:c>
      <x:c r="F17" s="21" t="n">
        <x:f>F12*F16</x:f>
        <x:v>580.96199589624</x:v>
      </x:c>
      <x:c r="G17" s="21" t="n">
        <x:f>G12*G16</x:f>
        <x:v>768.548755978315</x:v>
      </x:c>
      <x:c r="H17" s="21" t="n">
        <x:f>H12*H16</x:f>
        <x:v>952.3837808587485</x:v>
      </x:c>
      <x:c r="I17" s="21" t="n">
        <x:f>I12*I16</x:f>
        <x:v>1132.5421052415736</x:v>
      </x:c>
      <x:c r="J17" s="21" t="n">
        <x:f>J12*J16</x:f>
        <x:v>1309.0972631367422</x:v>
      </x:c>
      <x:c r="K17" s="21" t="n">
        <x:f>K12*K16</x:f>
        <x:v>1482.1213178740072</x:v>
      </x:c>
      <x:c r="L17" s="21" t="n">
        <x:f>L12*L16</x:f>
        <x:v>1651.684891516527</x:v>
      </x:c>
      <x:c r="M17" s="21" t="n">
        <x:f>M12*M16</x:f>
        <x:v>1817.8571936861965</x:v>
      </x:c>
      <x:c r="N17" s="21" t="n">
        <x:f>N12*N16</x:f>
        <x:v>2030.5075498124725</x:v>
      </x:c>
      <x:c r="O17" s="21" t="n">
        <x:f>O12*O16</x:f>
        <x:v>2288.706398816223</x:v>
      </x:c>
      <x:c r="P17" s="21" t="n">
        <x:f>P12*P16</x:f>
        <x:v>2541.741270839899</x:v>
      </x:c>
      <x:c r="Q17" s="21" t="n">
        <x:f>Q12*Q16</x:f>
        <x:v>2789.7154454231004</x:v>
      </x:c>
      <x:c r="R17" s="21" t="n">
        <x:f>R12*R16</x:f>
        <x:v>3032.7301365146386</x:v>
      </x:c>
      <x:c r="S17" s="21" t="n">
        <x:f>S12*S16</x:f>
        <x:v>3270.884533784346</x:v>
      </x:c>
      <x:c r="T17" s="21" t="n">
        <x:f>T12*T16</x:f>
        <x:v>3504.2758431086595</x:v>
      </x:c>
      <x:c r="U17" s="21" t="n">
        <x:f>U12*U16</x:f>
        <x:v>3732.9993262464864</x:v>
      </x:c>
      <x:c r="V17" s="21" t="n">
        <x:f>V12*V16</x:f>
        <x:v>3957.1483397215566</x:v>
      </x:c>
      <x:c r="W17" s="21" t="n">
        <x:f>W12*W16</x:f>
        <x:v>4176.814372927125</x:v>
      </x:c>
      <x:c r="X17" s="21" t="n">
        <x:f>X12*X16</x:f>
        <x:v>4392.087085468583</x:v>
      </x:c>
      <x:c r="Y17" s="21" t="n">
        <x:f>Y12*Y16</x:f>
        <x:v>4603.054343759211</x:v>
      </x:c>
      <x:c r="Z17" s="1"/>
    </x:row>
    <x:row r="18" ht="21" customHeight="1">
      <x:c r="A18" s="1" t="str">
        <x:v>Listing, video and tools cost</x:v>
      </x:c>
      <x:c r="B18" s="21" t="n">
        <x:f>B8*Assumptions!$B$30</x:f>
        <x:v>373</x:v>
      </x:c>
      <x:c r="C18" s="21" t="n">
        <x:f>C8*Assumptions!$B$30</x:f>
        <x:v>1111.54</x:v>
      </x:c>
      <x:c r="D18" s="21" t="n">
        <x:f>D8*Assumptions!$B$30</x:f>
        <x:v>1835.3092</x:v>
      </x:c>
      <x:c r="E18" s="21" t="n">
        <x:f>E8*Assumptions!$B$30</x:f>
        <x:v>2917.603016</x:v>
      </x:c>
      <x:c r="F18" s="21" t="n">
        <x:f>F8*Assumptions!$B$30</x:f>
        <x:v>4351.2509556800005</x:v>
      </x:c>
      <x:c r="G18" s="21" t="n">
        <x:f>G8*Assumptions!$B$30</x:f>
        <x:v>5756.2259365664</x:v>
      </x:c>
      <x:c r="H18" s="21" t="n">
        <x:f>H8*Assumptions!$B$30</x:f>
        <x:v>7133.101417835071</x:v>
      </x:c>
      <x:c r="I18" s="21" t="n">
        <x:f>I8*Assumptions!$B$30</x:f>
        <x:v>8482.43938947837</x:v>
      </x:c>
      <x:c r="J18" s="21" t="n">
        <x:f>J8*Assumptions!$B$30</x:f>
        <x:v>9804.790601688803</x:v>
      </x:c>
      <x:c r="K18" s="21" t="n">
        <x:f>K8*Assumptions!$B$30</x:f>
        <x:v>11100.694789655026</x:v>
      </x:c>
      <x:c r="L18" s="21" t="n">
        <x:f>L8*Assumptions!$B$30</x:f>
        <x:v>12370.680893861925</x:v>
      </x:c>
      <x:c r="M18" s="21" t="n">
        <x:f>M8*Assumptions!$B$30</x:f>
        <x:v>13615.267275984688</x:v>
      </x:c>
      <x:c r="N18" s="21" t="n">
        <x:f>N8*Assumptions!$B$30</x:f>
        <x:v>15207.961930464995</x:v>
      </x:c>
      <x:c r="O18" s="21" t="n">
        <x:f>O8*Assumptions!$B$30</x:f>
        <x:v>17141.802691855693</x:v>
      </x:c>
      <x:c r="P18" s="21" t="n">
        <x:f>P8*Assumptions!$B$30</x:f>
        <x:v>19036.96663801858</x:v>
      </x:c>
      <x:c r="Q18" s="21" t="n">
        <x:f>Q8*Assumptions!$B$30</x:f>
        <x:v>20894.22730525821</x:v>
      </x:c>
      <x:c r="R18" s="21" t="n">
        <x:f>R8*Assumptions!$B$30</x:f>
        <x:v>22714.342759153045</x:v>
      </x:c>
      <x:c r="S18" s="21" t="n">
        <x:f>S8*Assumptions!$B$30</x:f>
        <x:v>24498.055903969984</x:v>
      </x:c>
      <x:c r="T18" s="21" t="n">
        <x:f>T8*Assumptions!$B$30</x:f>
        <x:v>26246.094785890593</x:v>
      </x:c>
      <x:c r="U18" s="21" t="n">
        <x:f>U8*Assumptions!$B$30</x:f>
        <x:v>27959.17289017278</x:v>
      </x:c>
      <x:c r="V18" s="21" t="n">
        <x:f>V8*Assumptions!$B$30</x:f>
        <x:v>29637.989432369322</x:v>
      </x:c>
      <x:c r="W18" s="21" t="n">
        <x:f>W8*Assumptions!$B$30</x:f>
        <x:v>31283.229643721937</x:v>
      </x:c>
      <x:c r="X18" s="21" t="n">
        <x:f>X8*Assumptions!$B$30</x:f>
        <x:v>32895.5650508475</x:v>
      </x:c>
      <x:c r="Y18" s="21" t="n">
        <x:f>Y8*Assumptions!$B$30</x:f>
        <x:v>34475.65374983055</x:v>
      </x:c>
      <x:c r="Z18" s="1"/>
    </x:row>
    <x:row r="19" ht="21" customHeight="1">
      <x:c r="A19" s="1" t="str">
        <x:v>Total direct cost</x:v>
      </x:c>
      <x:c r="B19" s="21" t="n">
        <x:f>B17+B18</x:f>
        <x:v>422.8015</x:v>
      </x:c>
      <x:c r="C19" s="21" t="n">
        <x:f>C17+C18</x:f>
        <x:v>1259.9484699999998</x:v>
      </x:c>
      <x:c r="D19" s="21" t="n">
        <x:f>D17+D18</x:f>
        <x:v>2080.3525006</x:v>
      </x:c>
      <x:c r="E19" s="21" t="n">
        <x:f>E17+E18</x:f>
        <x:v>3307.149950588</x:v>
      </x:c>
      <x:c r="F19" s="21" t="n">
        <x:f>F17+F18</x:f>
        <x:v>4932.212951576241</x:v>
      </x:c>
      <x:c r="G19" s="21" t="n">
        <x:f>G17+G18</x:f>
        <x:v>6524.774692544715</x:v>
      </x:c>
      <x:c r="H19" s="21" t="n">
        <x:f>H17+H18</x:f>
        <x:v>8085.485198693819</x:v>
      </x:c>
      <x:c r="I19" s="21" t="n">
        <x:f>I17+I18</x:f>
        <x:v>9614.981494719943</x:v>
      </x:c>
      <x:c r="J19" s="21" t="n">
        <x:f>J17+J18</x:f>
        <x:v>11113.887864825545</x:v>
      </x:c>
      <x:c r="K19" s="21" t="n">
        <x:f>K17+K18</x:f>
        <x:v>12582.816107529034</x:v>
      </x:c>
      <x:c r="L19" s="21" t="n">
        <x:f>L17+L18</x:f>
        <x:v>14022.365785378452</x:v>
      </x:c>
      <x:c r="M19" s="21" t="n">
        <x:f>M17+M18</x:f>
        <x:v>15433.124469670885</x:v>
      </x:c>
      <x:c r="N19" s="21" t="n">
        <x:f>N17+N18</x:f>
        <x:v>17238.46948027747</x:v>
      </x:c>
      <x:c r="O19" s="21" t="n">
        <x:f>O17+O18</x:f>
        <x:v>19430.509090671916</x:v>
      </x:c>
      <x:c r="P19" s="21" t="n">
        <x:f>P17+P18</x:f>
        <x:v>21578.70790885848</x:v>
      </x:c>
      <x:c r="Q19" s="21" t="n">
        <x:f>Q17+Q18</x:f>
        <x:v>23683.942750681308</x:v>
      </x:c>
      <x:c r="R19" s="21" t="n">
        <x:f>R17+R18</x:f>
        <x:v>25747.072895667683</x:v>
      </x:c>
      <x:c r="S19" s="21" t="n">
        <x:f>S17+S18</x:f>
        <x:v>27768.94043775433</x:v>
      </x:c>
      <x:c r="T19" s="21" t="n">
        <x:f>T17+T18</x:f>
        <x:v>29750.37062899925</x:v>
      </x:c>
      <x:c r="U19" s="21" t="n">
        <x:f>U17+U18</x:f>
        <x:v>31692.172216419265</x:v>
      </x:c>
      <x:c r="V19" s="21" t="n">
        <x:f>V17+V18</x:f>
        <x:v>33595.13777209088</x:v>
      </x:c>
      <x:c r="W19" s="21" t="n">
        <x:f>W17+W18</x:f>
        <x:v>35460.04401664906</x:v>
      </x:c>
      <x:c r="X19" s="21" t="n">
        <x:f>X17+X18</x:f>
        <x:v>37287.65213631609</x:v>
      </x:c>
      <x:c r="Y19" s="21" t="n">
        <x:f>Y17+Y18</x:f>
        <x:v>39078.70809358976</x:v>
      </x:c>
      <x:c r="Z19" s="1"/>
    </x:row>
    <x:row r="20" ht="21" customHeight="1">
      <x:c r="A20" s="15" t="str">
        <x:v>Gross profit</x:v>
      </x:c>
      <x:c r="B20" s="22" t="n">
        <x:f>B15-B19</x:f>
        <x:v>152.19850000000002</x:v>
      </x:c>
      <x:c r="C20" s="22" t="n">
        <x:f>C15-C19</x:f>
        <x:v>453.5515300000002</x:v>
      </x:c>
      <x:c r="D20" s="22" t="n">
        <x:f>D15-D19</x:f>
        <x:v>748.8774994</x:v>
      </x:c>
      <x:c r="E20" s="22" t="n">
        <x:f>E15-E19</x:f>
        <x:v>1190.4954494120002</x:v>
      </x:c>
      <x:c r="F20" s="22" t="n">
        <x:f>F15-F19</x:f>
        <x:v>1775.4795404237593</x:v>
      </x:c>
      <x:c r="G20" s="22" t="n">
        <x:f>G15-G19</x:f>
        <x:v>2348.763949615284</x:v>
      </x:c>
      <x:c r="H20" s="22" t="n">
        <x:f>H15-H19</x:f>
        <x:v>2910.58267062298</x:v>
      </x:c>
      <x:c r="I20" s="22" t="n">
        <x:f>I15-I19</x:f>
        <x:v>3461.1650172105183</x:v>
      </x:c>
      <x:c r="J20" s="22" t="n">
        <x:f>J15-J19</x:f>
        <x:v>4000.7357168663075</x:v>
      </x:c>
      <x:c r="K20" s="22" t="n">
        <x:f>K15-K19</x:f>
        <x:v>4529.515002528984</x:v>
      </x:c>
      <x:c r="L20" s="22" t="n">
        <x:f>L15-L19</x:f>
        <x:v>5047.718702478405</x:v>
      </x:c>
      <x:c r="M20" s="22" t="n">
        <x:f>M15-M19</x:f>
        <x:v>5555.558328428833</x:v>
      </x:c>
      <x:c r="N20" s="22" t="n">
        <x:f>N15-N19</x:f>
        <x:v>6205.439661860259</x:v>
      </x:c>
      <x:c r="O20" s="22" t="n">
        <x:f>O15-O19</x:f>
        <x:v>6994.521868623055</x:v>
      </x:c>
      <x:c r="P20" s="22" t="n">
        <x:f>P15-P19</x:f>
        <x:v>7767.822431250595</x:v>
      </x:c>
      <x:c r="Q20" s="22" t="n">
        <x:f>Q15-Q19</x:f>
        <x:v>8525.656982625584</x:v>
      </x:c>
      <x:c r="R20" s="22" t="n">
        <x:f>R15-R19</x:f>
        <x:v>9268.334842973069</x:v>
      </x:c>
      <x:c r="S20" s="22" t="n">
        <x:f>S15-S19</x:f>
        <x:v>9996.159146113609</x:v>
      </x:c>
      <x:c r="T20" s="22" t="n">
        <x:f>T15-T19</x:f>
        <x:v>10709.426963191338</x:v>
      </x:c>
      <x:c r="U20" s="22" t="n">
        <x:f>U15-U19</x:f>
        <x:v>11408.429423927508</x:v>
      </x:c>
      <x:c r="V20" s="22" t="n">
        <x:f>V15-V19</x:f>
        <x:v>12093.451835448963</x:v>
      </x:c>
      <x:c r="W20" s="22" t="n">
        <x:f>W15-W19</x:f>
        <x:v>12764.773798739989</x:v>
      </x:c>
      <x:c r="X20" s="22" t="n">
        <x:f>X15-X19</x:f>
        <x:v>13422.669322765178</x:v>
      </x:c>
      <x:c r="Y20" s="22" t="n">
        <x:f>Y15-Y19</x:f>
        <x:v>14067.406936309875</x:v>
      </x:c>
      <x:c r="Z20" s="1"/>
    </x:row>
    <x:row r="21" ht="21" customHeight="1">
      <x:c r="A21" s="1" t="str">
        <x:v>Fixed operating cost</x:v>
      </x:c>
      <x:c r="B21" s="21" t="n">
        <x:f>Assumptions!$B$22</x:f>
        <x:v>8000</x:v>
      </x:c>
      <x:c r="C21" s="21" t="n">
        <x:f>Assumptions!$B$22</x:f>
        <x:v>8000</x:v>
      </x:c>
      <x:c r="D21" s="21" t="n">
        <x:f>Assumptions!$B$22</x:f>
        <x:v>8000</x:v>
      </x:c>
      <x:c r="E21" s="21" t="n">
        <x:f>Assumptions!$B$22</x:f>
        <x:v>8000</x:v>
      </x:c>
      <x:c r="F21" s="21" t="n">
        <x:f>Assumptions!$B$22</x:f>
        <x:v>8000</x:v>
      </x:c>
      <x:c r="G21" s="21" t="n">
        <x:f>Assumptions!$B$22</x:f>
        <x:v>8000</x:v>
      </x:c>
      <x:c r="H21" s="21" t="n">
        <x:f>Assumptions!$B$22</x:f>
        <x:v>8000</x:v>
      </x:c>
      <x:c r="I21" s="21" t="n">
        <x:f>Assumptions!$B$22</x:f>
        <x:v>8000</x:v>
      </x:c>
      <x:c r="J21" s="21" t="n">
        <x:f>Assumptions!$B$22</x:f>
        <x:v>8000</x:v>
      </x:c>
      <x:c r="K21" s="21" t="n">
        <x:f>Assumptions!$B$22</x:f>
        <x:v>8000</x:v>
      </x:c>
      <x:c r="L21" s="21" t="n">
        <x:f>Assumptions!$B$22</x:f>
        <x:v>8000</x:v>
      </x:c>
      <x:c r="M21" s="21" t="n">
        <x:f>Assumptions!$B$22</x:f>
        <x:v>8000</x:v>
      </x:c>
      <x:c r="N21" s="21" t="n">
        <x:f>Assumptions!$B$22</x:f>
        <x:v>8000</x:v>
      </x:c>
      <x:c r="O21" s="21" t="n">
        <x:f>Assumptions!$B$22</x:f>
        <x:v>8000</x:v>
      </x:c>
      <x:c r="P21" s="21" t="n">
        <x:f>Assumptions!$B$22</x:f>
        <x:v>8000</x:v>
      </x:c>
      <x:c r="Q21" s="21" t="n">
        <x:f>Assumptions!$B$22</x:f>
        <x:v>8000</x:v>
      </x:c>
      <x:c r="R21" s="21" t="n">
        <x:f>Assumptions!$B$22</x:f>
        <x:v>8000</x:v>
      </x:c>
      <x:c r="S21" s="21" t="n">
        <x:f>Assumptions!$B$22</x:f>
        <x:v>8000</x:v>
      </x:c>
      <x:c r="T21" s="21" t="n">
        <x:f>Assumptions!$B$22</x:f>
        <x:v>8000</x:v>
      </x:c>
      <x:c r="U21" s="21" t="n">
        <x:f>Assumptions!$B$22</x:f>
        <x:v>8000</x:v>
      </x:c>
      <x:c r="V21" s="21" t="n">
        <x:f>Assumptions!$B$22</x:f>
        <x:v>8000</x:v>
      </x:c>
      <x:c r="W21" s="21" t="n">
        <x:f>Assumptions!$B$22</x:f>
        <x:v>8000</x:v>
      </x:c>
      <x:c r="X21" s="21" t="n">
        <x:f>Assumptions!$B$22</x:f>
        <x:v>8000</x:v>
      </x:c>
      <x:c r="Y21" s="21" t="n">
        <x:f>Assumptions!$B$22</x:f>
        <x:v>8000</x:v>
      </x:c>
      <x:c r="Z21" s="1"/>
    </x:row>
    <x:row r="22" ht="21" customHeight="1">
      <x:c r="A22" s="1" t="str">
        <x:v>Acquisition cost</x:v>
      </x:c>
      <x:c r="B22" s="21" t="n">
        <x:f>B5*Assumptions!$B$23</x:f>
        <x:v>500</x:v>
      </x:c>
      <x:c r="C22" s="21" t="n">
        <x:f>C5*Assumptions!$B$23</x:f>
        <x:v>500</x:v>
      </x:c>
      <x:c r="D22" s="21" t="n">
        <x:f>D5*Assumptions!$B$23</x:f>
        <x:v>500</x:v>
      </x:c>
      <x:c r="E22" s="21" t="n">
        <x:f>E5*Assumptions!$B$23</x:f>
        <x:v>1000</x:v>
      </x:c>
      <x:c r="F22" s="21" t="n">
        <x:f>F5*Assumptions!$B$23</x:f>
        <x:v>1000</x:v>
      </x:c>
      <x:c r="G22" s="21" t="n">
        <x:f>G5*Assumptions!$B$23</x:f>
        <x:v>1000</x:v>
      </x:c>
      <x:c r="H22" s="21" t="n">
        <x:f>H5*Assumptions!$B$23</x:f>
        <x:v>1000</x:v>
      </x:c>
      <x:c r="I22" s="21" t="n">
        <x:f>I5*Assumptions!$B$23</x:f>
        <x:v>1000</x:v>
      </x:c>
      <x:c r="J22" s="21" t="n">
        <x:f>J5*Assumptions!$B$23</x:f>
        <x:v>1000</x:v>
      </x:c>
      <x:c r="K22" s="21" t="n">
        <x:f>K5*Assumptions!$B$23</x:f>
        <x:v>1000</x:v>
      </x:c>
      <x:c r="L22" s="21" t="n">
        <x:f>L5*Assumptions!$B$23</x:f>
        <x:v>1000</x:v>
      </x:c>
      <x:c r="M22" s="21" t="n">
        <x:f>M5*Assumptions!$B$23</x:f>
        <x:v>1000</x:v>
      </x:c>
      <x:c r="N22" s="21" t="n">
        <x:f>N5*Assumptions!$B$23</x:f>
        <x:v>1500</x:v>
      </x:c>
      <x:c r="O22" s="21" t="n">
        <x:f>O5*Assumptions!$B$23</x:f>
        <x:v>1500</x:v>
      </x:c>
      <x:c r="P22" s="21" t="n">
        <x:f>P5*Assumptions!$B$23</x:f>
        <x:v>1500</x:v>
      </x:c>
      <x:c r="Q22" s="21" t="n">
        <x:f>Q5*Assumptions!$B$23</x:f>
        <x:v>1500</x:v>
      </x:c>
      <x:c r="R22" s="21" t="n">
        <x:f>R5*Assumptions!$B$23</x:f>
        <x:v>1500</x:v>
      </x:c>
      <x:c r="S22" s="21" t="n">
        <x:f>S5*Assumptions!$B$23</x:f>
        <x:v>1500</x:v>
      </x:c>
      <x:c r="T22" s="21" t="n">
        <x:f>T5*Assumptions!$B$23</x:f>
        <x:v>1500</x:v>
      </x:c>
      <x:c r="U22" s="21" t="n">
        <x:f>U5*Assumptions!$B$23</x:f>
        <x:v>1500</x:v>
      </x:c>
      <x:c r="V22" s="21" t="n">
        <x:f>V5*Assumptions!$B$23</x:f>
        <x:v>1500</x:v>
      </x:c>
      <x:c r="W22" s="21" t="n">
        <x:f>W5*Assumptions!$B$23</x:f>
        <x:v>1500</x:v>
      </x:c>
      <x:c r="X22" s="21" t="n">
        <x:f>X5*Assumptions!$B$23</x:f>
        <x:v>1500</x:v>
      </x:c>
      <x:c r="Y22" s="21" t="n">
        <x:f>Y5*Assumptions!$B$23</x:f>
        <x:v>1500</x:v>
      </x:c>
      <x:c r="Z22" s="1"/>
    </x:row>
    <x:row r="23" ht="21" customHeight="1">
      <x:c r="A23" s="16" t="str">
        <x:v>Operating profit</x:v>
      </x:c>
      <x:c r="B23" s="23" t="n">
        <x:f>B20-B21-B22</x:f>
        <x:v>-8347.8015</x:v>
      </x:c>
      <x:c r="C23" s="23" t="n">
        <x:f>C20-C21-C22</x:f>
        <x:v>-8046.448469999999</x:v>
      </x:c>
      <x:c r="D23" s="23" t="n">
        <x:f>D20-D21-D22</x:f>
        <x:v>-7751.1225006</x:v>
      </x:c>
      <x:c r="E23" s="23" t="n">
        <x:f>E20-E21-E22</x:f>
        <x:v>-7809.504550588</x:v>
      </x:c>
      <x:c r="F23" s="23" t="n">
        <x:f>F20-F21-F22</x:f>
        <x:v>-7224.520459576241</x:v>
      </x:c>
      <x:c r="G23" s="23" t="n">
        <x:f>G20-G21-G22</x:f>
        <x:v>-6651.236050384716</x:v>
      </x:c>
      <x:c r="H23" s="23" t="n">
        <x:f>H20-H21-H22</x:f>
        <x:v>-6089.41732937702</x:v>
      </x:c>
      <x:c r="I23" s="23" t="n">
        <x:f>I20-I21-I22</x:f>
        <x:v>-5538.834982789482</x:v>
      </x:c>
      <x:c r="J23" s="23" t="n">
        <x:f>J20-J21-J22</x:f>
        <x:v>-4999.2642831336925</x:v>
      </x:c>
      <x:c r="K23" s="23" t="n">
        <x:f>K20-K21-K22</x:f>
        <x:v>-4470.484997471016</x:v>
      </x:c>
      <x:c r="L23" s="23" t="n">
        <x:f>L20-L21-L22</x:f>
        <x:v>-3952.2812975215948</x:v>
      </x:c>
      <x:c r="M23" s="23" t="n">
        <x:f>M20-M21-M22</x:f>
        <x:v>-3444.441671571167</x:v>
      </x:c>
      <x:c r="N23" s="23" t="n">
        <x:f>N20-N21-N22</x:f>
        <x:v>-3294.5603381397414</x:v>
      </x:c>
      <x:c r="O23" s="23" t="n">
        <x:f>O20-O21-O22</x:f>
        <x:v>-2505.4781313769454</x:v>
      </x:c>
      <x:c r="P23" s="23" t="n">
        <x:f>P20-P21-P22</x:f>
        <x:v>-1732.1775687494046</x:v>
      </x:c>
      <x:c r="Q23" s="23" t="n">
        <x:f>Q20-Q21-Q22</x:f>
        <x:v>-974.3430173744164</x:v>
      </x:c>
      <x:c r="R23" s="23" t="n">
        <x:f>R20-R21-R22</x:f>
        <x:v>-231.6651570269314</x:v>
      </x:c>
      <x:c r="S23" s="23" t="n">
        <x:f>S20-S21-S22</x:f>
        <x:v>496.1591461136086</x:v>
      </x:c>
      <x:c r="T23" s="23" t="n">
        <x:f>T20-T21-T22</x:f>
        <x:v>1209.4269631913376</x:v>
      </x:c>
      <x:c r="U23" s="23" t="n">
        <x:f>U20-U21-U22</x:f>
        <x:v>1908.4294239275077</x:v>
      </x:c>
      <x:c r="V23" s="23" t="n">
        <x:f>V20-V21-V22</x:f>
        <x:v>2593.451835448963</x:v>
      </x:c>
      <x:c r="W23" s="23" t="n">
        <x:f>W20-W21-W22</x:f>
        <x:v>3264.7737987399887</x:v>
      </x:c>
      <x:c r="X23" s="23" t="n">
        <x:f>X20-X21-X22</x:f>
        <x:v>3922.6693227651776</x:v>
      </x:c>
      <x:c r="Y23" s="23" t="n">
        <x:f>Y20-Y21-Y22</x:f>
        <x:v>4567.406936309875</x:v>
      </x:c>
      <x:c r="Z23" s="1"/>
    </x:row>
    <x:row r="24" ht="21" customHeight="1">
      <x:c r="A24" s="16" t="str">
        <x:v>Ending cash</x:v>
      </x:c>
      <x:c r="B24" s="23" t="n">
        <x:f>Assumptions!$B$24+B23</x:f>
        <x:v>41652.1985</x:v>
      </x:c>
      <x:c r="C24" s="23" t="n">
        <x:f>B24+C23</x:f>
        <x:v>33605.750029999996</x:v>
      </x:c>
      <x:c r="D24" s="23" t="n">
        <x:f>C24+D23</x:f>
        <x:v>25854.627529399993</x:v>
      </x:c>
      <x:c r="E24" s="23" t="n">
        <x:f>D24+E23</x:f>
        <x:v>18045.122978811993</x:v>
      </x:c>
      <x:c r="F24" s="23" t="n">
        <x:f>E24+F23</x:f>
        <x:v>10820.602519235752</x:v>
      </x:c>
      <x:c r="G24" s="23" t="n">
        <x:f>F24+G23</x:f>
        <x:v>4169.366468851036</x:v>
      </x:c>
      <x:c r="H24" s="23" t="n">
        <x:f>G24+H23</x:f>
        <x:v>-1920.0508605259838</x:v>
      </x:c>
      <x:c r="I24" s="23" t="n">
        <x:f>H24+I23</x:f>
        <x:v>-7458.8858433154655</x:v>
      </x:c>
      <x:c r="J24" s="23" t="n">
        <x:f>I24+J23</x:f>
        <x:v>-12458.150126449158</x:v>
      </x:c>
      <x:c r="K24" s="23" t="n">
        <x:f>J24+K23</x:f>
        <x:v>-16928.635123920176</x:v>
      </x:c>
      <x:c r="L24" s="23" t="n">
        <x:f>K24+L23</x:f>
        <x:v>-20880.91642144177</x:v>
      </x:c>
      <x:c r="M24" s="23" t="n">
        <x:f>L24+M23</x:f>
        <x:v>-24325.358093012936</x:v>
      </x:c>
      <x:c r="N24" s="23" t="n">
        <x:f>M24+N23</x:f>
        <x:v>-27619.918431152677</x:v>
      </x:c>
      <x:c r="O24" s="23" t="n">
        <x:f>N24+O23</x:f>
        <x:v>-30125.396562529622</x:v>
      </x:c>
      <x:c r="P24" s="23" t="n">
        <x:f>O24+P23</x:f>
        <x:v>-31857.574131279027</x:v>
      </x:c>
      <x:c r="Q24" s="23" t="n">
        <x:f>P24+Q23</x:f>
        <x:v>-32831.91714865345</x:v>
      </x:c>
      <x:c r="R24" s="23" t="n">
        <x:f>Q24+R23</x:f>
        <x:v>-33063.58230568038</x:v>
      </x:c>
      <x:c r="S24" s="23" t="n">
        <x:f>R24+S23</x:f>
        <x:v>-32567.42315956677</x:v>
      </x:c>
      <x:c r="T24" s="23" t="n">
        <x:f>S24+T23</x:f>
        <x:v>-31357.996196375432</x:v>
      </x:c>
      <x:c r="U24" s="23" t="n">
        <x:f>T24+U23</x:f>
        <x:v>-29449.566772447924</x:v>
      </x:c>
      <x:c r="V24" s="23" t="n">
        <x:f>U24+V23</x:f>
        <x:v>-26856.11493699896</x:v>
      </x:c>
      <x:c r="W24" s="23" t="n">
        <x:f>V24+W23</x:f>
        <x:v>-23591.341138258973</x:v>
      </x:c>
      <x:c r="X24" s="23" t="n">
        <x:f>W24+X23</x:f>
        <x:v>-19668.671815493795</x:v>
      </x:c>
      <x:c r="Y24" s="23" t="n">
        <x:f>X24+Y23</x:f>
        <x:v>-15101.26487918392</x:v>
      </x:c>
      <x:c r="Z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21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21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21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21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21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</x:sheetData>
  <x:pageMargins left="0.7" right="0.7" top="0.75" bottom="0.75" header="0.3" footer="0.3"/>
</x:worksheet>
</file>